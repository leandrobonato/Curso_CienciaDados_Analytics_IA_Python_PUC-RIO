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hna.Siddhi\Downloads\"/>
    </mc:Choice>
  </mc:AlternateContent>
  <xr:revisionPtr revIDLastSave="0" documentId="13_ncr:1_{497F03C0-CE9B-4AAF-9DEB-125E0589341E}" xr6:coauthVersionLast="47" xr6:coauthVersionMax="47" xr10:uidLastSave="{00000000-0000-0000-0000-000000000000}"/>
  <bookViews>
    <workbookView xWindow="-110" yWindow="-110" windowWidth="19420" windowHeight="10300" activeTab="1" xr2:uid="{C35650D6-110D-E34D-9770-A9436E4227A9}"/>
  </bookViews>
  <sheets>
    <sheet name="Global" sheetId="1" r:id="rId1"/>
    <sheet name="Country" sheetId="2" r:id="rId2"/>
  </sheets>
  <externalReferences>
    <externalReference r:id="rId3"/>
    <externalReference r:id="rId4"/>
  </externalReferences>
  <definedNames>
    <definedName name="_xlnm._FilterDatabase" localSheetId="1" hidden="1">Country!$A$1:$K$174</definedName>
    <definedName name="bunkers">[1]global!$E$4</definedName>
    <definedName name="conditional_2030">'[2]2030 Summary'!$T$2</definedName>
    <definedName name="unconditional_2030">'[2]2030 Summary'!$S$2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2" l="1"/>
  <c r="R5" i="2"/>
  <c r="P5" i="2"/>
  <c r="O5" i="2"/>
  <c r="S6" i="2"/>
  <c r="R6" i="2"/>
  <c r="P6" i="2"/>
  <c r="O6" i="2"/>
  <c r="R3" i="2" l="1"/>
  <c r="P3" i="2"/>
  <c r="S3" i="2"/>
  <c r="O3" i="2"/>
</calcChain>
</file>

<file path=xl/sharedStrings.xml><?xml version="1.0" encoding="utf-8"?>
<sst xmlns="http://schemas.openxmlformats.org/spreadsheetml/2006/main" count="375" uniqueCount="364">
  <si>
    <t>year</t>
  </si>
  <si>
    <t>Historical emissions</t>
  </si>
  <si>
    <t>2020 NDCs conditional</t>
  </si>
  <si>
    <t>2020 NDCs unconditional</t>
  </si>
  <si>
    <t>2025 NDCs conditional</t>
  </si>
  <si>
    <t>2025 NDCs unconditional</t>
  </si>
  <si>
    <t>2C Benchmark</t>
  </si>
  <si>
    <t>1.5C Benchmark</t>
  </si>
  <si>
    <t>NDC Target (economy-wide)</t>
  </si>
  <si>
    <t>NDC Target (filling conditionalities and no target with 2030 targets)</t>
  </si>
  <si>
    <t>NDC Target (filling conditionalities)</t>
  </si>
  <si>
    <t>GtCO2e</t>
  </si>
  <si>
    <t>Unconditional</t>
  </si>
  <si>
    <t>Conditional</t>
  </si>
  <si>
    <t>Country</t>
  </si>
  <si>
    <t>ISO</t>
  </si>
  <si>
    <t>Total Global Emissions</t>
  </si>
  <si>
    <t>Afghanistan</t>
  </si>
  <si>
    <t>AFG</t>
  </si>
  <si>
    <t>Angola</t>
  </si>
  <si>
    <t>AGO</t>
  </si>
  <si>
    <t>NDC</t>
  </si>
  <si>
    <t>Albania</t>
  </si>
  <si>
    <t>ALB</t>
  </si>
  <si>
    <t>International Bunkers</t>
  </si>
  <si>
    <t>Andorra</t>
  </si>
  <si>
    <t>AND</t>
  </si>
  <si>
    <t>Non-UNFCCC territorries</t>
  </si>
  <si>
    <t>United Arab Emirates</t>
  </si>
  <si>
    <t>ARE</t>
  </si>
  <si>
    <t>LULUCF Adjustment</t>
  </si>
  <si>
    <t>Argentina</t>
  </si>
  <si>
    <t>ARG</t>
  </si>
  <si>
    <t>Armenia</t>
  </si>
  <si>
    <t>ARM</t>
  </si>
  <si>
    <t>Antigua and Barbuda</t>
  </si>
  <si>
    <t>ATG</t>
  </si>
  <si>
    <t>Australia</t>
  </si>
  <si>
    <t>AUS</t>
  </si>
  <si>
    <t>Azerbaijan</t>
  </si>
  <si>
    <t>AZE</t>
  </si>
  <si>
    <t>Burundi</t>
  </si>
  <si>
    <t>BDI</t>
  </si>
  <si>
    <t>Benin</t>
  </si>
  <si>
    <t>BEN</t>
  </si>
  <si>
    <t>Burkina Faso</t>
  </si>
  <si>
    <t>BFA</t>
  </si>
  <si>
    <t>Bangladesh</t>
  </si>
  <si>
    <t>BGD</t>
  </si>
  <si>
    <t>Bahrain</t>
  </si>
  <si>
    <t>BHR</t>
  </si>
  <si>
    <t>The Bahamas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</si>
  <si>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</si>
  <si>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</si>
  <si>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</si>
  <si>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</si>
  <si>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</si>
  <si>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</si>
  <si>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</si>
  <si>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</si>
  <si>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</si>
  <si>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</si>
  <si>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</si>
  <si>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</si>
  <si>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</si>
  <si>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Brunei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</si>
  <si>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</si>
  <si>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</si>
  <si>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</si>
  <si>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</si>
  <si>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</si>
  <si>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</si>
  <si>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</si>
  <si>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</si>
  <si>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</si>
  <si>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</si>
  <si>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</si>
  <si>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</si>
  <si>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</si>
  <si>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</si>
  <si>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</si>
  <si>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Ivory Coast</t>
  </si>
  <si>
    <t>CIV</t>
  </si>
  <si>
    <t>Cameroon</t>
  </si>
  <si>
    <t>CMR</t>
  </si>
  <si>
    <t>Democratic Republic of the Congo</t>
  </si>
  <si>
    <t>COD</t>
  </si>
  <si>
    <t>Republic of Congo</t>
  </si>
  <si>
    <t>COG</t>
  </si>
  <si>
    <t>Cook Islands</t>
  </si>
  <si>
    <t>COK</t>
  </si>
  <si>
    <t>Colombia</t>
  </si>
  <si>
    <t>COL</t>
  </si>
  <si>
    <t>Comoros</t>
  </si>
  <si>
    <t>COM</t>
  </si>
  <si>
    <t>Cape Verde</t>
  </si>
  <si>
    <t>CPV</t>
  </si>
  <si>
    <t>Costa Rica</t>
  </si>
  <si>
    <t>CRI</t>
  </si>
  <si>
    <t>Cuba</t>
  </si>
  <si>
    <t>CUB</t>
  </si>
  <si>
    <t>Djibouti</t>
  </si>
  <si>
    <t>DJI</t>
  </si>
  <si>
    <t>Dominica</t>
  </si>
  <si>
    <t>DMA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</si>
  <si>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</si>
  <si>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</si>
  <si>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</si>
  <si>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</si>
  <si>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</si>
  <si>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</si>
  <si>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</si>
  <si>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</si>
  <si>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</si>
  <si>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</si>
  <si>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Ethiopia</t>
  </si>
  <si>
    <t>ETH</t>
  </si>
  <si>
    <t>European Union (27)</t>
  </si>
  <si>
    <t>EUU</t>
  </si>
  <si>
    <t>Fiji</t>
  </si>
  <si>
    <t>FJI</t>
  </si>
  <si>
    <t>Federated States of Micronesia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</si>
  <si>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</si>
  <si>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</si>
  <si>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</si>
  <si>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</si>
  <si>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</si>
  <si>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</si>
  <si>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</si>
  <si>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</si>
  <si>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</si>
  <si>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</si>
  <si>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</si>
  <si>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</t>
  </si>
  <si>
    <t>GMB</t>
  </si>
  <si>
    <t>Guinea Bissau</t>
  </si>
  <si>
    <t>GNB</t>
  </si>
  <si>
    <t>Equatorial Guinea</t>
  </si>
  <si>
    <t>GNQ</t>
  </si>
  <si>
    <t>Grenada</t>
  </si>
  <si>
    <t>GRD</t>
  </si>
  <si>
    <t>Guatemala</t>
  </si>
  <si>
    <t>GTM</t>
  </si>
  <si>
    <t>Guyana</t>
  </si>
  <si>
    <t>GUY</t>
  </si>
  <si>
    <t>Honduras</t>
  </si>
  <si>
    <t>HND</t>
  </si>
  <si>
    <t>Haiti</t>
  </si>
  <si>
    <t>HTI</t>
  </si>
  <si>
    <t>Indonesia</t>
  </si>
  <si>
    <t>IDN</t>
  </si>
  <si>
    <t>India</t>
  </si>
  <si>
    <t>IND</t>
  </si>
  <si>
    <t>Iran</t>
  </si>
  <si>
    <t>IRN</t>
  </si>
  <si>
    <t>Iraq</t>
  </si>
  <si>
    <t>IRQ</t>
  </si>
  <si>
    <t>Iceland</t>
  </si>
  <si>
    <t>ISL</t>
  </si>
  <si>
    <t>Israel</t>
  </si>
  <si>
    <t>ISR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</si>
  <si>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</si>
  <si>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</si>
  <si>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</si>
  <si>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</si>
  <si>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</si>
  <si>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</si>
  <si>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</si>
  <si>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</si>
  <si>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</si>
  <si>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</si>
  <si>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Kyrgyzstan</t>
  </si>
  <si>
    <t>KGZ</t>
  </si>
  <si>
    <t>Cambodia</t>
  </si>
  <si>
    <t>KHM</t>
  </si>
  <si>
    <t>Kiribati</t>
  </si>
  <si>
    <t>KIR</t>
  </si>
  <si>
    <t>Saint Kitts and Nevis</t>
  </si>
  <si>
    <t>KNA</t>
  </si>
  <si>
    <t>South Korea</t>
  </si>
  <si>
    <t>KOR</t>
  </si>
  <si>
    <t>Kuwait</t>
  </si>
  <si>
    <t>KWT</t>
  </si>
  <si>
    <t>Laos</t>
  </si>
  <si>
    <t>LAO</t>
  </si>
  <si>
    <t>Lebanon</t>
  </si>
  <si>
    <t>LBN</t>
  </si>
  <si>
    <t>Liberia</t>
  </si>
  <si>
    <t>LBR</t>
  </si>
  <si>
    <t>Libya</t>
  </si>
  <si>
    <t>LBY</t>
  </si>
  <si>
    <t>Saint Lucia</t>
  </si>
  <si>
    <t>LCA</t>
  </si>
  <si>
    <t>Liechtenstein</t>
  </si>
  <si>
    <t>LIE</t>
  </si>
  <si>
    <t>Sri Lanka</t>
  </si>
  <si>
    <t>LKA</t>
  </si>
  <si>
    <t>Lesotho</t>
  </si>
  <si>
    <t>LSO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</si>
  <si>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</si>
  <si>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</si>
  <si>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</si>
  <si>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</si>
  <si>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</si>
  <si>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</si>
  <si>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</si>
  <si>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</si>
  <si>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</si>
  <si>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</si>
  <si>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</si>
  <si>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</si>
  <si>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</si>
  <si>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</si>
  <si>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</si>
  <si>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</si>
  <si>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</si>
  <si>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</si>
  <si>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</si>
  <si>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</si>
  <si>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</si>
  <si>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</si>
  <si>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</si>
  <si>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</si>
  <si>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</si>
  <si>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</si>
  <si>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</si>
  <si>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</si>
  <si>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</si>
  <si>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</si>
  <si>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</si>
  <si>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</si>
  <si>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</si>
  <si>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</si>
  <si>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</si>
  <si>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</si>
  <si>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</si>
  <si>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</si>
  <si>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</si>
  <si>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</si>
  <si>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</si>
  <si>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</si>
  <si>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Niue</t>
  </si>
  <si>
    <t>NIU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</si>
  <si>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</si>
  <si>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</si>
  <si>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</si>
  <si>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</si>
  <si>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</si>
  <si>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</si>
  <si>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</si>
  <si>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</si>
  <si>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</si>
  <si>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</si>
  <si>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</si>
  <si>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</si>
  <si>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</si>
  <si>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</si>
  <si>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</si>
  <si>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</si>
  <si>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</si>
  <si>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</si>
  <si>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</si>
  <si>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</si>
  <si>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</si>
  <si>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</si>
  <si>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North Korea</t>
  </si>
  <si>
    <t>PRK</t>
  </si>
  <si>
    <t>Paraguay</t>
  </si>
  <si>
    <t>PRY</t>
  </si>
  <si>
    <t>Palestine</t>
  </si>
  <si>
    <t>PSE</t>
  </si>
  <si>
    <t>Qatar</t>
  </si>
  <si>
    <t>QAT</t>
  </si>
  <si>
    <t>Russia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</si>
  <si>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</si>
  <si>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</si>
  <si>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</si>
  <si>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</si>
  <si>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</si>
  <si>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</si>
  <si>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</si>
  <si>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</si>
  <si>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</si>
  <si>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</si>
  <si>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</si>
  <si>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</si>
  <si>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</si>
  <si>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</si>
  <si>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</si>
  <si>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</si>
  <si>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</si>
  <si>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</si>
  <si>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</si>
  <si>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</si>
  <si>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</si>
  <si>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Republic of Serbia</t>
  </si>
  <si>
    <t>SRB</t>
  </si>
  <si>
    <t>South Sudan</t>
  </si>
  <si>
    <t>SSD</t>
  </si>
  <si>
    <t>Sao Tome and Principe</t>
  </si>
  <si>
    <t>STP</t>
  </si>
  <si>
    <t>Suriname</t>
  </si>
  <si>
    <t>SUR</t>
  </si>
  <si>
    <t>Eswatini</t>
  </si>
  <si>
    <t>SWZ</t>
  </si>
  <si>
    <t>Seychelles</t>
  </si>
  <si>
    <t>SYC</t>
  </si>
  <si>
    <t>Syria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</si>
  <si>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</si>
  <si>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</si>
  <si>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</si>
  <si>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</si>
  <si>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</si>
  <si>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</si>
  <si>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</si>
  <si>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</si>
  <si>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</si>
  <si>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</si>
  <si>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</si>
  <si>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</si>
  <si>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</si>
  <si>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</si>
  <si>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</si>
  <si>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</si>
  <si>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</si>
  <si>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</si>
  <si>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</si>
  <si>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</si>
  <si>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</si>
  <si>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Tuvalu</t>
  </si>
  <si>
    <t>TUV</t>
  </si>
  <si>
    <t>United Republic of Tanzania</t>
  </si>
  <si>
    <t>TZA</t>
  </si>
  <si>
    <t>Uganda</t>
  </si>
  <si>
    <t>UGA</t>
  </si>
  <si>
    <t>Ukraine</t>
  </si>
  <si>
    <t>UKR</t>
  </si>
  <si>
    <t>Uruguay</t>
  </si>
  <si>
    <t>URY</t>
  </si>
  <si>
    <t>United States of America</t>
  </si>
  <si>
    <t>USA</t>
  </si>
  <si>
    <t>Uzbekistan</t>
  </si>
  <si>
    <t>UZB</t>
  </si>
  <si>
    <t>Holy See (Vatican City State)</t>
  </si>
  <si>
    <t>VAT</t>
  </si>
  <si>
    <t>Saint Vincent and the Grenadines</t>
  </si>
  <si>
    <t>VCT</t>
  </si>
  <si>
    <t>Venezuela</t>
  </si>
  <si>
    <t>VEN</t>
  </si>
  <si>
    <t>Vietnam</t>
  </si>
  <si>
    <t>VNM</t>
  </si>
  <si>
    <t>Vanuatu</t>
  </si>
  <si>
    <t>VUT</t>
  </si>
  <si>
    <t>Samoa</t>
  </si>
  <si>
    <t>WSM</t>
  </si>
  <si>
    <t>Yemen</t>
  </si>
  <si>
    <t>YEM</t>
  </si>
  <si>
    <t>South Africa</t>
  </si>
  <si>
    <t>ZAF</t>
  </si>
  <si>
    <t>Zambia</t>
  </si>
  <si>
    <t>ZMB</t>
  </si>
  <si>
    <t>Zimbabwe</t>
  </si>
  <si>
    <t>ZWE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</si>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</sst>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.0_);_(* \(#,##0.0\);_(* &quot;-&quot;??_);_(@_)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164" fontId="3" fillId="0" borderId="0" xfId="0" applyNumberFormat="1" applyFont="1"/>
    <xf numFmtId="0" fontId="6" fillId="0" borderId="0" xfId="0" applyFont="1" applyAlignment="1">
      <alignment wrapText="1"/>
    </xf>
    <xf numFmtId="0" fontId="0" fillId="2" borderId="0" xfId="0" applyFill="1"/>
    <xf numFmtId="0" fontId="8" fillId="2" borderId="0" xfId="0" applyFont="1" applyFill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2" fontId="7" fillId="0" borderId="0" xfId="1" applyNumberFormat="1" applyFont="1" applyFill="1" applyBorder="1"/>
    <xf numFmtId="2" fontId="7" fillId="0" borderId="0" xfId="0" applyNumberFormat="1" applyFont="1"/>
    <xf numFmtId="0" fontId="6" fillId="0" borderId="1" xfId="0" applyFont="1" applyBorder="1"/>
    <xf numFmtId="165" fontId="6" fillId="0" borderId="1" xfId="0" applyNumberFormat="1" applyFont="1" applyBorder="1"/>
    <xf numFmtId="0" fontId="6" fillId="0" borderId="2" xfId="0" applyFont="1" applyBorder="1" applyAlignment="1">
      <alignment horizontal="left"/>
    </xf>
    <xf numFmtId="165" fontId="6" fillId="0" borderId="2" xfId="1" applyNumberFormat="1" applyFont="1" applyFill="1" applyBorder="1" applyAlignment="1">
      <alignment horizontal="left"/>
    </xf>
    <xf numFmtId="164" fontId="0" fillId="0" borderId="0" xfId="0" applyNumberFormat="1"/>
    <xf numFmtId="0" fontId="0" fillId="0" borderId="2" xfId="0" applyBorder="1"/>
    <xf numFmtId="43" fontId="0" fillId="0" borderId="0" xfId="0" applyNumberFormat="1"/>
    <xf numFmtId="14" fontId="0" fillId="0" borderId="0" xfId="0" applyNumberFormat="1"/>
    <xf numFmtId="14" fontId="9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wri.sharepoint.com/sites/climatewatch/Shared%20Documents/2.%20&#128176;%20New%20Ideas%20and%20Fundraising/2025%20NDC%20Tracker/Data%20Team/filling%20in%20sectors%20and%20gases/CW_NDC_Tracker_Calculations-2025CW%20data_0530%20copy.xlsx" TargetMode="External"/><Relationship Id="rId1" Type="http://schemas.openxmlformats.org/officeDocument/2006/relationships/externalLinkPath" Target="https://onewri.sharepoint.com/sites/climatewatch/Shared%20Documents/2.%20&#128176;%20New%20Ideas%20and%20Fundraising/2025%20NDC%20Tracker/Data%20Team/filling%20in%20sectors%20and%20gases/CW_NDC_Tracker_Calculations-2025CW%20data_0530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wri.sharepoint.com/sites/climatewatch/Shared%20Documents/2.%20&#128176;%20New%20Ideas%20and%20Fundraising/2025%20NDC%20Tracker/Data%20Team/filling%20in%20sectors%20and%20gases/CW_NDC_Tracker_Calculations-2025CW%20data.xlsx" TargetMode="External"/><Relationship Id="rId1" Type="http://schemas.openxmlformats.org/officeDocument/2006/relationships/externalLinkPath" Target="https://onewri.sharepoint.com/sites/climatewatch/Shared%20Documents/2.%20&#128176;%20New%20Ideas%20and%20Fundraising/2025%20NDC%20Tracker/Data%20Team/filling%20in%20sectors%20and%20gases/CW_NDC_Tracker_Calculations-2025CW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global_backend"/>
      <sheetName val="country_backend"/>
      <sheetName val="Test of Other Countries G20"/>
      <sheetName val="2035_2030"/>
      <sheetName val="2035 Summary"/>
      <sheetName val="1 2035 GHG Target"/>
      <sheetName val="2b BAU 2035"/>
      <sheetName val="2 2035 Gap filling"/>
      <sheetName val="2035 ad.cal."/>
      <sheetName val="2a Harmonization kyoto"/>
      <sheetName val="global"/>
      <sheetName val="2030 Summary"/>
      <sheetName val="1 2030 GHG Target"/>
      <sheetName val="2 2030 Gap filling"/>
      <sheetName val="1a Additional calculations"/>
      <sheetName val="1b Intensity target"/>
      <sheetName val="2b BAU 2030"/>
      <sheetName val="CW GHG"/>
      <sheetName val="NGFS downscaled GCAM 6"/>
      <sheetName val="NGFS I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E4">
            <v>1027.0722887290001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global_backend"/>
      <sheetName val="country_backend"/>
      <sheetName val="Test of Other Countries G20"/>
      <sheetName val="2035_2030"/>
      <sheetName val="2035 Summary"/>
      <sheetName val="1 2035 GHG Target"/>
      <sheetName val="2b BAU 2035"/>
      <sheetName val="2 2035 Gap filling"/>
      <sheetName val="2035 ad.cal."/>
      <sheetName val="2a Harmonization kyoto"/>
      <sheetName val="global"/>
      <sheetName val="2030 Summary"/>
      <sheetName val="1 2030 GHG Target"/>
      <sheetName val="2 2030 Gap filling"/>
      <sheetName val="1a Additional calculations"/>
      <sheetName val="1b Intensity target"/>
      <sheetName val="2b BAU 2030"/>
      <sheetName val="CW GHG"/>
      <sheetName val="NGFS downscaled GCAM 6"/>
      <sheetName val="NGFS I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C917-E89A-1A4D-B4A0-AF7AAD6CFE33}">
  <dimension ref="A1:H47"/>
  <sheetViews>
    <sheetView workbookViewId="0">
      <pane xSplit="2" ySplit="1" topLeftCell="C42" activePane="bottomRight" state="frozen"/>
      <selection pane="topRight" activeCell="C1" sqref="C1"/>
      <selection pane="bottomLeft" activeCell="A2" sqref="A2"/>
      <selection pane="bottomRight" activeCell="E47" sqref="E47:F47"/>
    </sheetView>
  </sheetViews>
  <sheetFormatPr defaultColWidth="11" defaultRowHeight="16" x14ac:dyDescent="0.4"/>
  <sheetData>
    <row r="1" spans="1:8" s="4" customFormat="1" ht="48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4">
      <c r="A2" s="1">
        <v>1990</v>
      </c>
      <c r="B2" s="2">
        <v>40.289162102718919</v>
      </c>
      <c r="C2" s="1"/>
      <c r="D2" s="1"/>
      <c r="E2" s="1"/>
      <c r="F2" s="1"/>
      <c r="G2" s="1"/>
      <c r="H2" s="1"/>
    </row>
    <row r="3" spans="1:8" x14ac:dyDescent="0.4">
      <c r="A3" s="1">
        <v>1991</v>
      </c>
      <c r="B3" s="2">
        <v>40.467182977294655</v>
      </c>
      <c r="C3" s="1"/>
      <c r="D3" s="1"/>
      <c r="E3" s="1"/>
      <c r="F3" s="1"/>
      <c r="G3" s="1"/>
      <c r="H3" s="1"/>
    </row>
    <row r="4" spans="1:8" x14ac:dyDescent="0.4">
      <c r="A4" s="1">
        <v>1992</v>
      </c>
      <c r="B4" s="2">
        <v>40.416504473063092</v>
      </c>
      <c r="C4" s="1"/>
      <c r="D4" s="1"/>
      <c r="E4" s="1"/>
      <c r="F4" s="1"/>
      <c r="G4" s="1"/>
      <c r="H4" s="1"/>
    </row>
    <row r="5" spans="1:8" x14ac:dyDescent="0.4">
      <c r="A5" s="1">
        <v>1993</v>
      </c>
      <c r="B5" s="2">
        <v>40.602126720827556</v>
      </c>
      <c r="C5" s="1"/>
      <c r="D5" s="1"/>
      <c r="E5" s="1"/>
      <c r="F5" s="1"/>
      <c r="G5" s="1"/>
      <c r="H5" s="1"/>
    </row>
    <row r="6" spans="1:8" x14ac:dyDescent="0.4">
      <c r="A6" s="1">
        <v>1994</v>
      </c>
      <c r="B6" s="2">
        <v>40.864053576526743</v>
      </c>
      <c r="C6" s="1"/>
      <c r="D6" s="1"/>
      <c r="E6" s="1"/>
      <c r="F6" s="1"/>
      <c r="G6" s="1"/>
      <c r="H6" s="1"/>
    </row>
    <row r="7" spans="1:8" x14ac:dyDescent="0.4">
      <c r="A7" s="1">
        <v>1995</v>
      </c>
      <c r="B7" s="2">
        <v>41.67521990683472</v>
      </c>
      <c r="C7" s="1"/>
      <c r="D7" s="1"/>
      <c r="E7" s="1"/>
      <c r="F7" s="1"/>
      <c r="G7" s="1"/>
      <c r="H7" s="1"/>
    </row>
    <row r="8" spans="1:8" x14ac:dyDescent="0.4">
      <c r="A8" s="1">
        <v>1996</v>
      </c>
      <c r="B8" s="2">
        <v>42.060414011744911</v>
      </c>
      <c r="C8" s="1"/>
      <c r="D8" s="1"/>
      <c r="E8" s="1"/>
      <c r="F8" s="1"/>
      <c r="G8" s="1"/>
      <c r="H8" s="1"/>
    </row>
    <row r="9" spans="1:8" x14ac:dyDescent="0.4">
      <c r="A9" s="1">
        <v>1997</v>
      </c>
      <c r="B9" s="2">
        <v>43.450395016339158</v>
      </c>
      <c r="C9" s="1"/>
      <c r="D9" s="1"/>
      <c r="E9" s="1"/>
      <c r="F9" s="1"/>
      <c r="G9" s="1"/>
      <c r="H9" s="1"/>
    </row>
    <row r="10" spans="1:8" x14ac:dyDescent="0.4">
      <c r="A10" s="1">
        <v>1998</v>
      </c>
      <c r="B10" s="2">
        <v>42.952909376493231</v>
      </c>
      <c r="C10" s="1"/>
      <c r="D10" s="1"/>
      <c r="E10" s="1"/>
      <c r="F10" s="1"/>
      <c r="G10" s="1"/>
      <c r="H10" s="1"/>
    </row>
    <row r="11" spans="1:8" x14ac:dyDescent="0.4">
      <c r="A11" s="1">
        <v>1999</v>
      </c>
      <c r="B11" s="2">
        <v>42.937042202687188</v>
      </c>
      <c r="C11" s="1"/>
      <c r="D11" s="1"/>
      <c r="E11" s="1"/>
      <c r="F11" s="1"/>
      <c r="G11" s="1"/>
      <c r="H11" s="1"/>
    </row>
    <row r="12" spans="1:8" x14ac:dyDescent="0.4">
      <c r="A12" s="1">
        <v>2000</v>
      </c>
      <c r="B12" s="2">
        <v>43.613533086862354</v>
      </c>
      <c r="C12" s="1"/>
      <c r="D12" s="1"/>
      <c r="E12" s="1"/>
      <c r="F12" s="1"/>
      <c r="G12" s="1"/>
      <c r="H12" s="1"/>
    </row>
    <row r="13" spans="1:8" x14ac:dyDescent="0.4">
      <c r="A13" s="1">
        <v>2001</v>
      </c>
      <c r="B13" s="2">
        <v>43.67999014900083</v>
      </c>
      <c r="C13" s="1"/>
      <c r="D13" s="1"/>
      <c r="E13" s="1"/>
      <c r="F13" s="1"/>
      <c r="G13" s="1"/>
      <c r="H13" s="1"/>
    </row>
    <row r="14" spans="1:8" x14ac:dyDescent="0.4">
      <c r="A14" s="1">
        <v>2002</v>
      </c>
      <c r="B14" s="2">
        <v>44.661958289211647</v>
      </c>
      <c r="C14" s="1"/>
      <c r="D14" s="1"/>
      <c r="E14" s="1"/>
      <c r="F14" s="1"/>
      <c r="G14" s="1"/>
      <c r="H14" s="1"/>
    </row>
    <row r="15" spans="1:8" x14ac:dyDescent="0.4">
      <c r="A15" s="1">
        <v>2003</v>
      </c>
      <c r="B15" s="2">
        <v>45.659715534385192</v>
      </c>
      <c r="C15" s="1"/>
      <c r="D15" s="1"/>
      <c r="E15" s="1"/>
      <c r="F15" s="1"/>
      <c r="G15" s="1"/>
      <c r="H15" s="1"/>
    </row>
    <row r="16" spans="1:8" x14ac:dyDescent="0.4">
      <c r="A16" s="1">
        <v>2004</v>
      </c>
      <c r="B16" s="2">
        <v>47.508893292607652</v>
      </c>
      <c r="C16" s="1"/>
      <c r="D16" s="1"/>
      <c r="E16" s="1"/>
      <c r="F16" s="1"/>
      <c r="G16" s="1"/>
      <c r="H16" s="1"/>
    </row>
    <row r="17" spans="1:8" x14ac:dyDescent="0.4">
      <c r="A17" s="1">
        <v>2005</v>
      </c>
      <c r="B17" s="2">
        <v>48.46509277547716</v>
      </c>
      <c r="C17" s="1"/>
      <c r="D17" s="1"/>
      <c r="E17" s="1"/>
      <c r="F17" s="1"/>
      <c r="G17" s="1"/>
      <c r="H17" s="1"/>
    </row>
    <row r="18" spans="1:8" x14ac:dyDescent="0.4">
      <c r="A18" s="1">
        <v>2006</v>
      </c>
      <c r="B18" s="2">
        <v>49.939647418706272</v>
      </c>
      <c r="C18" s="1"/>
      <c r="D18" s="1"/>
      <c r="E18" s="1"/>
      <c r="F18" s="1"/>
      <c r="G18" s="1"/>
      <c r="H18" s="1"/>
    </row>
    <row r="19" spans="1:8" x14ac:dyDescent="0.4">
      <c r="A19" s="1">
        <v>2007</v>
      </c>
      <c r="B19" s="2">
        <v>50.704265049712184</v>
      </c>
      <c r="C19" s="1"/>
      <c r="D19" s="1"/>
      <c r="E19" s="1"/>
      <c r="F19" s="1"/>
      <c r="G19" s="1"/>
      <c r="H19" s="1"/>
    </row>
    <row r="20" spans="1:8" x14ac:dyDescent="0.4">
      <c r="A20" s="1">
        <v>2008</v>
      </c>
      <c r="B20" s="2">
        <v>50.956505482857153</v>
      </c>
      <c r="C20" s="1"/>
      <c r="D20" s="1"/>
      <c r="E20" s="1"/>
      <c r="F20" s="1"/>
      <c r="G20" s="1"/>
      <c r="H20" s="1"/>
    </row>
    <row r="21" spans="1:8" x14ac:dyDescent="0.4">
      <c r="A21" s="1">
        <v>2009</v>
      </c>
      <c r="B21" s="2">
        <v>50.876854671056464</v>
      </c>
      <c r="C21" s="1"/>
      <c r="D21" s="1"/>
      <c r="E21" s="1"/>
      <c r="F21" s="1"/>
      <c r="G21" s="1"/>
      <c r="H21" s="1"/>
    </row>
    <row r="22" spans="1:8" x14ac:dyDescent="0.4">
      <c r="A22" s="1">
        <v>2010</v>
      </c>
      <c r="B22" s="2">
        <v>52.699526924833869</v>
      </c>
      <c r="C22" s="1"/>
      <c r="D22" s="1"/>
      <c r="E22" s="1"/>
      <c r="F22" s="1"/>
      <c r="G22" s="1"/>
      <c r="H22" s="1"/>
    </row>
    <row r="23" spans="1:8" x14ac:dyDescent="0.4">
      <c r="A23" s="1">
        <v>2011</v>
      </c>
      <c r="B23" s="2">
        <v>52.850171031022768</v>
      </c>
      <c r="C23" s="1"/>
      <c r="D23" s="1"/>
      <c r="E23" s="1"/>
      <c r="F23" s="1"/>
      <c r="G23" s="1"/>
      <c r="H23" s="1"/>
    </row>
    <row r="24" spans="1:8" x14ac:dyDescent="0.4">
      <c r="A24" s="1">
        <v>2012</v>
      </c>
      <c r="B24" s="2">
        <v>53.34290100938837</v>
      </c>
      <c r="C24" s="1"/>
      <c r="D24" s="1"/>
      <c r="E24" s="1"/>
      <c r="F24" s="1"/>
      <c r="G24" s="1"/>
      <c r="H24" s="1"/>
    </row>
    <row r="25" spans="1:8" x14ac:dyDescent="0.4">
      <c r="A25" s="1">
        <v>2013</v>
      </c>
      <c r="B25" s="2">
        <v>53.964305617528808</v>
      </c>
      <c r="C25" s="1"/>
      <c r="D25" s="1"/>
      <c r="E25" s="1"/>
      <c r="F25" s="1"/>
      <c r="G25" s="1"/>
      <c r="H25" s="1"/>
    </row>
    <row r="26" spans="1:8" x14ac:dyDescent="0.4">
      <c r="A26" s="1">
        <v>2014</v>
      </c>
      <c r="B26" s="2">
        <v>54.614390101312267</v>
      </c>
      <c r="C26" s="1"/>
      <c r="D26" s="1"/>
      <c r="E26" s="1"/>
      <c r="F26" s="1"/>
      <c r="G26" s="1"/>
      <c r="H26" s="1"/>
    </row>
    <row r="27" spans="1:8" x14ac:dyDescent="0.4">
      <c r="A27" s="1">
        <v>2015</v>
      </c>
      <c r="B27" s="2">
        <v>54.503989083685134</v>
      </c>
      <c r="C27" s="1"/>
      <c r="D27" s="1"/>
      <c r="E27" s="1"/>
      <c r="F27" s="1"/>
      <c r="G27" s="1"/>
      <c r="H27" s="1"/>
    </row>
    <row r="28" spans="1:8" x14ac:dyDescent="0.4">
      <c r="A28" s="1">
        <v>2016</v>
      </c>
      <c r="B28" s="2">
        <v>55.091186108437384</v>
      </c>
      <c r="C28" s="1"/>
      <c r="D28" s="1"/>
      <c r="E28" s="1"/>
      <c r="F28" s="1"/>
      <c r="G28" s="1"/>
      <c r="H28" s="1"/>
    </row>
    <row r="29" spans="1:8" x14ac:dyDescent="0.4">
      <c r="A29" s="1">
        <v>2017</v>
      </c>
      <c r="B29" s="2">
        <v>55.815565208118535</v>
      </c>
      <c r="C29" s="1"/>
      <c r="D29" s="1"/>
      <c r="E29" s="1"/>
      <c r="F29" s="1"/>
      <c r="G29" s="1"/>
      <c r="H29" s="1"/>
    </row>
    <row r="30" spans="1:8" x14ac:dyDescent="0.4">
      <c r="A30" s="1">
        <v>2018</v>
      </c>
      <c r="B30" s="2">
        <v>56.926784344526936</v>
      </c>
      <c r="C30" s="1"/>
      <c r="D30" s="1"/>
      <c r="E30" s="1"/>
      <c r="F30" s="1"/>
      <c r="G30" s="1"/>
      <c r="H30" s="1"/>
    </row>
    <row r="31" spans="1:8" x14ac:dyDescent="0.4">
      <c r="A31" s="1">
        <v>2019</v>
      </c>
      <c r="B31" s="2">
        <v>57.30356702452832</v>
      </c>
      <c r="C31" s="1"/>
      <c r="D31" s="1"/>
      <c r="E31" s="1"/>
      <c r="F31" s="1"/>
      <c r="G31" s="1"/>
      <c r="H31" s="1"/>
    </row>
    <row r="32" spans="1:8" x14ac:dyDescent="0.4">
      <c r="A32" s="1">
        <v>2020</v>
      </c>
      <c r="B32" s="2">
        <v>54.971971571852272</v>
      </c>
      <c r="C32" s="1"/>
      <c r="D32" s="1"/>
      <c r="E32" s="1"/>
      <c r="F32" s="1"/>
      <c r="G32" s="1"/>
      <c r="H32" s="1"/>
    </row>
    <row r="33" spans="1:8" x14ac:dyDescent="0.4">
      <c r="A33" s="1">
        <v>2021</v>
      </c>
      <c r="B33" s="2">
        <v>57.056426338758591</v>
      </c>
      <c r="C33" s="1"/>
      <c r="D33" s="1"/>
      <c r="E33" s="1"/>
      <c r="F33" s="1"/>
      <c r="G33" s="1"/>
      <c r="H33" s="1"/>
    </row>
    <row r="34" spans="1:8" x14ac:dyDescent="0.4">
      <c r="A34" s="1">
        <v>2022</v>
      </c>
      <c r="B34" s="2">
        <v>57.509052582832929</v>
      </c>
      <c r="C34" s="1"/>
      <c r="D34" s="1"/>
      <c r="E34" s="1"/>
      <c r="F34" s="1"/>
      <c r="G34" s="1"/>
      <c r="H34" s="1"/>
    </row>
    <row r="35" spans="1:8" x14ac:dyDescent="0.4">
      <c r="A35" s="1">
        <v>2023</v>
      </c>
      <c r="B35" s="1"/>
      <c r="C35" s="1"/>
      <c r="D35" s="1"/>
      <c r="E35" s="1"/>
      <c r="F35" s="1"/>
      <c r="G35" s="1"/>
      <c r="H35" s="1"/>
    </row>
    <row r="36" spans="1:8" x14ac:dyDescent="0.4">
      <c r="A36" s="1">
        <v>2024</v>
      </c>
      <c r="B36" s="1"/>
      <c r="C36" s="1"/>
      <c r="D36" s="1"/>
      <c r="E36" s="1"/>
      <c r="F36" s="1"/>
      <c r="G36" s="1"/>
      <c r="H36" s="1"/>
    </row>
    <row r="37" spans="1:8" x14ac:dyDescent="0.4">
      <c r="A37" s="1">
        <v>2025</v>
      </c>
      <c r="B37" s="1"/>
      <c r="C37" s="1"/>
      <c r="D37" s="1"/>
      <c r="E37" s="1"/>
      <c r="F37" s="1"/>
      <c r="G37" s="1"/>
      <c r="H37" s="1"/>
    </row>
    <row r="38" spans="1:8" x14ac:dyDescent="0.4">
      <c r="A38" s="1">
        <v>2026</v>
      </c>
      <c r="B38" s="1"/>
      <c r="C38" s="1"/>
      <c r="D38" s="1"/>
      <c r="E38" s="1"/>
      <c r="F38" s="1"/>
      <c r="G38" s="1"/>
      <c r="H38" s="1"/>
    </row>
    <row r="39" spans="1:8" x14ac:dyDescent="0.4">
      <c r="A39" s="1">
        <v>2027</v>
      </c>
      <c r="B39" s="1"/>
      <c r="C39" s="1"/>
      <c r="D39" s="1"/>
      <c r="E39" s="1"/>
      <c r="F39" s="1"/>
      <c r="G39" s="1"/>
      <c r="H39" s="1"/>
    </row>
    <row r="40" spans="1:8" x14ac:dyDescent="0.4">
      <c r="A40" s="1">
        <v>2028</v>
      </c>
      <c r="B40" s="1"/>
      <c r="C40" s="1"/>
      <c r="D40" s="1"/>
      <c r="E40" s="1"/>
      <c r="F40" s="1"/>
      <c r="G40" s="1"/>
      <c r="H40" s="1"/>
    </row>
    <row r="41" spans="1:8" x14ac:dyDescent="0.4">
      <c r="A41" s="1">
        <v>2029</v>
      </c>
      <c r="B41" s="1"/>
      <c r="C41" s="1"/>
      <c r="D41" s="1"/>
      <c r="E41" s="1"/>
      <c r="F41" s="1"/>
      <c r="G41" s="1"/>
      <c r="H41" s="1"/>
    </row>
    <row r="42" spans="1:8" x14ac:dyDescent="0.4">
      <c r="A42" s="1">
        <v>2030</v>
      </c>
      <c r="B42" s="1"/>
      <c r="C42" s="1">
        <v>53.2</v>
      </c>
      <c r="D42" s="1">
        <v>56.2</v>
      </c>
      <c r="G42" s="1">
        <v>41</v>
      </c>
      <c r="H42" s="1">
        <v>33</v>
      </c>
    </row>
    <row r="43" spans="1:8" x14ac:dyDescent="0.4">
      <c r="A43" s="1">
        <v>2031</v>
      </c>
      <c r="B43" s="1"/>
      <c r="C43" s="1"/>
      <c r="D43" s="1"/>
      <c r="E43" s="1"/>
      <c r="F43" s="1"/>
      <c r="G43" s="1"/>
      <c r="H43" s="1"/>
    </row>
    <row r="44" spans="1:8" x14ac:dyDescent="0.4">
      <c r="A44" s="1">
        <v>2032</v>
      </c>
      <c r="B44" s="1"/>
      <c r="C44" s="1"/>
      <c r="D44" s="1"/>
      <c r="E44" s="1"/>
      <c r="F44" s="1"/>
      <c r="G44" s="1"/>
      <c r="H44" s="1"/>
    </row>
    <row r="45" spans="1:8" x14ac:dyDescent="0.4">
      <c r="A45" s="1">
        <v>2033</v>
      </c>
      <c r="B45" s="1"/>
      <c r="C45" s="1"/>
      <c r="D45" s="1"/>
      <c r="E45" s="1"/>
      <c r="F45" s="1"/>
      <c r="G45" s="1"/>
      <c r="H45" s="1"/>
    </row>
    <row r="46" spans="1:8" x14ac:dyDescent="0.4">
      <c r="A46" s="1">
        <v>2034</v>
      </c>
      <c r="B46" s="1"/>
      <c r="C46" s="1"/>
      <c r="D46" s="1"/>
      <c r="E46" s="1"/>
      <c r="F46" s="1"/>
      <c r="G46" s="1"/>
      <c r="H46" s="1"/>
    </row>
    <row r="47" spans="1:8" x14ac:dyDescent="0.4">
      <c r="A47" s="1">
        <v>2035</v>
      </c>
      <c r="B47" s="1"/>
      <c r="C47" s="1"/>
      <c r="D47" s="1"/>
      <c r="E47" s="1">
        <v>49.4</v>
      </c>
      <c r="F47" s="5">
        <v>53</v>
      </c>
      <c r="G47" s="1">
        <v>36</v>
      </c>
      <c r="H47" s="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6B52-E6EA-B342-B536-C429268109D8}">
  <dimension ref="A1:S174"/>
  <sheetViews>
    <sheetView tabSelected="1" workbookViewId="0">
      <pane xSplit="3" ySplit="3" topLeftCell="D136" activePane="bottomRight" state="frozen"/>
      <selection pane="topRight" activeCell="C1" sqref="C1"/>
      <selection pane="bottomLeft" activeCell="A5" sqref="A5"/>
      <selection pane="bottomRight" activeCell="G143" sqref="G143"/>
    </sheetView>
  </sheetViews>
  <sheetFormatPr defaultColWidth="11" defaultRowHeight="16" x14ac:dyDescent="0.4"/>
  <cols>
    <col min="1" max="1" width="11" style="20"/>
  </cols>
  <sheetData>
    <row r="1" spans="1:19" x14ac:dyDescent="0.4">
      <c r="B1" s="7"/>
      <c r="C1" s="7"/>
      <c r="D1" s="8" t="s">
        <v>8</v>
      </c>
      <c r="E1" s="7"/>
      <c r="F1" s="8" t="s">
        <v>9</v>
      </c>
      <c r="G1" s="8"/>
      <c r="H1" s="8" t="s">
        <v>8</v>
      </c>
      <c r="I1" s="8"/>
      <c r="J1" s="8" t="s">
        <v>10</v>
      </c>
      <c r="K1" s="8"/>
      <c r="O1">
        <v>2035</v>
      </c>
      <c r="R1">
        <v>2030</v>
      </c>
    </row>
    <row r="2" spans="1:19" x14ac:dyDescent="0.4">
      <c r="B2" s="9"/>
      <c r="C2" s="9"/>
      <c r="D2" s="10">
        <v>2035</v>
      </c>
      <c r="E2" s="10">
        <v>2035</v>
      </c>
      <c r="F2" s="10">
        <v>2035</v>
      </c>
      <c r="G2" s="10">
        <v>2035</v>
      </c>
      <c r="H2" s="10">
        <v>2030</v>
      </c>
      <c r="I2" s="10">
        <v>2030</v>
      </c>
      <c r="J2" s="10">
        <v>2030</v>
      </c>
      <c r="K2" s="10">
        <v>2030</v>
      </c>
      <c r="N2" t="s">
        <v>11</v>
      </c>
      <c r="O2" s="13" t="s">
        <v>12</v>
      </c>
      <c r="P2" s="13" t="s">
        <v>13</v>
      </c>
      <c r="R2" s="13" t="s">
        <v>12</v>
      </c>
      <c r="S2" s="13" t="s">
        <v>13</v>
      </c>
    </row>
    <row r="3" spans="1:19" x14ac:dyDescent="0.4">
      <c r="A3" s="21" t="s">
        <v>363</v>
      </c>
      <c r="B3" s="6" t="s">
        <v>14</v>
      </c>
      <c r="C3" s="6" t="s">
        <v>15</v>
      </c>
      <c r="D3" s="11" t="s">
        <v>12</v>
      </c>
      <c r="E3" s="11" t="s">
        <v>13</v>
      </c>
      <c r="F3" s="11" t="s">
        <v>12</v>
      </c>
      <c r="G3" s="11" t="s">
        <v>13</v>
      </c>
      <c r="H3" s="12" t="s">
        <v>12</v>
      </c>
      <c r="I3" s="12" t="s">
        <v>13</v>
      </c>
      <c r="J3" s="12" t="s">
        <v>12</v>
      </c>
      <c r="K3" s="12" t="s">
        <v>13</v>
      </c>
      <c r="N3" s="13" t="s">
        <v>16</v>
      </c>
      <c r="O3" s="14">
        <f>SUM(O5:O8)</f>
        <v>52.96797228872898</v>
      </c>
      <c r="P3" s="14">
        <f>SUM(P5:P8)</f>
        <v>49.358872288728996</v>
      </c>
      <c r="Q3" s="13"/>
      <c r="R3" s="14">
        <f>SUM(R5:R8)</f>
        <v>56.211172288729024</v>
      </c>
      <c r="S3" s="14">
        <f>SUM(S5:S8)</f>
        <v>53.176672288729002</v>
      </c>
    </row>
    <row r="4" spans="1:19" x14ac:dyDescent="0.4">
      <c r="B4" t="s">
        <v>17</v>
      </c>
      <c r="C4" t="s">
        <v>18</v>
      </c>
      <c r="F4">
        <v>49.6</v>
      </c>
      <c r="G4">
        <v>43.4</v>
      </c>
      <c r="I4">
        <v>43.4</v>
      </c>
      <c r="J4">
        <v>49.6</v>
      </c>
      <c r="K4">
        <v>43.4</v>
      </c>
    </row>
    <row r="5" spans="1:19" x14ac:dyDescent="0.4">
      <c r="A5" s="20">
        <v>45913</v>
      </c>
      <c r="B5" t="s">
        <v>19</v>
      </c>
      <c r="C5" t="s">
        <v>20</v>
      </c>
      <c r="D5">
        <v>178.3</v>
      </c>
      <c r="E5">
        <v>166.5</v>
      </c>
      <c r="F5">
        <v>178.3</v>
      </c>
      <c r="G5">
        <v>166.5</v>
      </c>
      <c r="H5">
        <v>93.4</v>
      </c>
      <c r="I5">
        <v>77.099999999999994</v>
      </c>
      <c r="J5">
        <v>93.4</v>
      </c>
      <c r="K5">
        <v>77.099999999999994</v>
      </c>
      <c r="N5" s="15" t="s">
        <v>21</v>
      </c>
      <c r="O5" s="16">
        <f>SUM(F4:F174)/1000</f>
        <v>44.840899999999976</v>
      </c>
      <c r="P5" s="16">
        <f>SUM(G4:G174)/1000</f>
        <v>41.231799999999993</v>
      </c>
      <c r="Q5" s="15"/>
      <c r="R5" s="16">
        <f>SUM(J4:J174)/1000</f>
        <v>48.084100000000021</v>
      </c>
      <c r="S5" s="16">
        <f>SUM(K4:K174)/1000</f>
        <v>45.049599999999998</v>
      </c>
    </row>
    <row r="6" spans="1:19" x14ac:dyDescent="0.4">
      <c r="B6" t="s">
        <v>22</v>
      </c>
      <c r="C6" t="s">
        <v>23</v>
      </c>
      <c r="F6">
        <v>12</v>
      </c>
      <c r="G6">
        <v>12</v>
      </c>
      <c r="H6">
        <v>12</v>
      </c>
      <c r="J6">
        <v>12</v>
      </c>
      <c r="K6">
        <v>12</v>
      </c>
      <c r="N6" t="s">
        <v>24</v>
      </c>
      <c r="O6" s="17">
        <f>bunkers/1000</f>
        <v>1.027072288729</v>
      </c>
      <c r="P6" s="17">
        <f>bunkers/1000</f>
        <v>1.027072288729</v>
      </c>
      <c r="R6" s="17">
        <f>bunkers/1000</f>
        <v>1.027072288729</v>
      </c>
      <c r="S6" s="17">
        <f>bunkers/1000</f>
        <v>1.027072288729</v>
      </c>
    </row>
    <row r="7" spans="1:19" x14ac:dyDescent="0.4">
      <c r="A7" s="20">
        <v>45693</v>
      </c>
      <c r="B7" t="s">
        <v>25</v>
      </c>
      <c r="C7" t="s">
        <v>26</v>
      </c>
      <c r="D7">
        <v>0.1</v>
      </c>
      <c r="F7">
        <v>0.1</v>
      </c>
      <c r="G7">
        <v>0.1</v>
      </c>
      <c r="H7">
        <v>0.3</v>
      </c>
      <c r="J7">
        <v>0.3</v>
      </c>
      <c r="K7">
        <v>0.3</v>
      </c>
      <c r="N7" t="s">
        <v>27</v>
      </c>
      <c r="O7" s="19">
        <v>0.4</v>
      </c>
      <c r="P7" s="19">
        <v>0.4</v>
      </c>
      <c r="R7" s="19">
        <v>0.4</v>
      </c>
      <c r="S7" s="19">
        <v>0.4</v>
      </c>
    </row>
    <row r="8" spans="1:19" x14ac:dyDescent="0.4">
      <c r="A8" s="20">
        <v>45602</v>
      </c>
      <c r="B8" t="s">
        <v>28</v>
      </c>
      <c r="C8" t="s">
        <v>29</v>
      </c>
      <c r="D8">
        <v>103.5</v>
      </c>
      <c r="F8">
        <v>103.5</v>
      </c>
      <c r="G8">
        <v>103.5</v>
      </c>
      <c r="H8">
        <v>185</v>
      </c>
      <c r="J8">
        <v>185</v>
      </c>
      <c r="K8">
        <v>185</v>
      </c>
      <c r="N8" s="18" t="s">
        <v>30</v>
      </c>
      <c r="O8" s="18">
        <v>6.7</v>
      </c>
      <c r="P8" s="18">
        <v>6.7</v>
      </c>
      <c r="Q8" s="18"/>
      <c r="R8" s="18">
        <v>6.7</v>
      </c>
      <c r="S8" s="18">
        <v>6.7</v>
      </c>
    </row>
    <row r="9" spans="1:19" x14ac:dyDescent="0.4">
      <c r="B9" t="s">
        <v>31</v>
      </c>
      <c r="C9" t="s">
        <v>32</v>
      </c>
      <c r="F9">
        <v>349</v>
      </c>
      <c r="G9">
        <v>349</v>
      </c>
      <c r="H9">
        <v>349</v>
      </c>
      <c r="J9">
        <v>349</v>
      </c>
      <c r="K9">
        <v>349</v>
      </c>
    </row>
    <row r="10" spans="1:19" x14ac:dyDescent="0.4">
      <c r="B10" t="s">
        <v>33</v>
      </c>
      <c r="C10" t="s">
        <v>34</v>
      </c>
      <c r="F10">
        <v>11.1</v>
      </c>
      <c r="G10">
        <v>15.1</v>
      </c>
      <c r="I10">
        <v>15.1</v>
      </c>
      <c r="J10">
        <v>11.1</v>
      </c>
      <c r="K10">
        <v>15.1</v>
      </c>
    </row>
    <row r="11" spans="1:19" x14ac:dyDescent="0.4">
      <c r="B11" t="s">
        <v>35</v>
      </c>
      <c r="C11" t="s">
        <v>36</v>
      </c>
      <c r="F11">
        <v>3.7</v>
      </c>
      <c r="G11">
        <v>3.7</v>
      </c>
      <c r="J11">
        <v>3.7</v>
      </c>
      <c r="K11">
        <v>3.7</v>
      </c>
    </row>
    <row r="12" spans="1:19" x14ac:dyDescent="0.4">
      <c r="A12" s="20">
        <v>45918</v>
      </c>
      <c r="B12" t="s">
        <v>37</v>
      </c>
      <c r="C12" t="s">
        <v>38</v>
      </c>
      <c r="D12">
        <v>208</v>
      </c>
      <c r="F12">
        <v>208</v>
      </c>
      <c r="G12">
        <v>208</v>
      </c>
      <c r="H12">
        <v>354</v>
      </c>
      <c r="J12">
        <v>354</v>
      </c>
      <c r="K12">
        <v>354</v>
      </c>
    </row>
    <row r="13" spans="1:19" x14ac:dyDescent="0.4">
      <c r="A13" s="20">
        <v>45966</v>
      </c>
      <c r="B13" t="s">
        <v>39</v>
      </c>
      <c r="C13" t="s">
        <v>40</v>
      </c>
      <c r="E13">
        <v>49.6</v>
      </c>
      <c r="F13">
        <v>52.2</v>
      </c>
      <c r="G13">
        <v>49.6</v>
      </c>
      <c r="I13">
        <v>52.7</v>
      </c>
      <c r="J13">
        <v>49.5</v>
      </c>
      <c r="K13">
        <v>52.7</v>
      </c>
    </row>
    <row r="14" spans="1:19" x14ac:dyDescent="0.4">
      <c r="A14" s="20">
        <v>45971</v>
      </c>
      <c r="B14" t="s">
        <v>41</v>
      </c>
      <c r="C14" t="s">
        <v>42</v>
      </c>
      <c r="D14">
        <v>3</v>
      </c>
      <c r="E14">
        <v>1.9</v>
      </c>
      <c r="F14">
        <v>3</v>
      </c>
      <c r="G14">
        <v>1.9</v>
      </c>
      <c r="H14">
        <v>6.7</v>
      </c>
      <c r="I14">
        <v>6</v>
      </c>
      <c r="J14">
        <v>6.7</v>
      </c>
      <c r="K14">
        <v>6</v>
      </c>
    </row>
    <row r="15" spans="1:19" x14ac:dyDescent="0.4">
      <c r="B15" t="s">
        <v>43</v>
      </c>
      <c r="C15" t="s">
        <v>44</v>
      </c>
      <c r="F15">
        <v>35.200000000000003</v>
      </c>
      <c r="G15">
        <v>35.200000000000003</v>
      </c>
      <c r="H15">
        <v>35.200000000000003</v>
      </c>
      <c r="J15">
        <v>35.200000000000003</v>
      </c>
      <c r="K15">
        <v>35.200000000000003</v>
      </c>
    </row>
    <row r="16" spans="1:19" x14ac:dyDescent="0.4">
      <c r="B16" t="s">
        <v>45</v>
      </c>
      <c r="C16" t="s">
        <v>46</v>
      </c>
      <c r="F16">
        <v>86.9</v>
      </c>
      <c r="G16">
        <v>76.3</v>
      </c>
      <c r="H16">
        <v>86.9</v>
      </c>
      <c r="I16">
        <v>76.3</v>
      </c>
      <c r="J16">
        <v>86.9</v>
      </c>
      <c r="K16">
        <v>76.3</v>
      </c>
    </row>
    <row r="17" spans="1:11" x14ac:dyDescent="0.4">
      <c r="A17" s="20">
        <v>45929</v>
      </c>
      <c r="B17" t="s">
        <v>47</v>
      </c>
      <c r="C17" t="s">
        <v>48</v>
      </c>
      <c r="D17">
        <v>391.7</v>
      </c>
      <c r="E17">
        <v>333.4</v>
      </c>
      <c r="F17">
        <v>391.7</v>
      </c>
      <c r="G17">
        <v>333.4</v>
      </c>
      <c r="H17">
        <v>381.8</v>
      </c>
      <c r="I17">
        <v>319.89999999999998</v>
      </c>
      <c r="J17">
        <v>381.8</v>
      </c>
      <c r="K17">
        <v>319.89999999999998</v>
      </c>
    </row>
    <row r="18" spans="1:11" x14ac:dyDescent="0.4">
      <c r="B18" t="s">
        <v>49</v>
      </c>
      <c r="C18" t="s">
        <v>50</v>
      </c>
      <c r="F18">
        <v>37.799999999999997</v>
      </c>
      <c r="G18">
        <v>37.799999999999997</v>
      </c>
      <c r="J18">
        <v>37.799999999999997</v>
      </c>
      <c r="K18">
        <v>37.799999999999997</v>
      </c>
    </row>
    <row r="19" spans="1:11" x14ac:dyDescent="0.4">
      <c r="A19" s="20">
        <v>45968</v>
      </c>
      <c r="B19" t="s">
        <v>51</v>
      </c>
      <c r="C19" t="s">
        <v>52</v>
      </c>
      <c r="E19">
        <v>3.8</v>
      </c>
      <c r="F19">
        <v>6</v>
      </c>
      <c r="G19">
        <v>3.8</v>
      </c>
      <c r="I19">
        <v>4.3</v>
      </c>
      <c r="J19">
        <v>6.5</v>
      </c>
      <c r="K19">
        <v>4.3</v>
      </c>
    </row>
    <row r="20" spans="1:11" x14ac:dyDescent="0.4">
      <c r="B20" t="s">
        <v>53</v>
      </c>
      <c r="C20" t="s">
        <v>54</v>
      </c>
      <c r="F20">
        <v>22.7</v>
      </c>
      <c r="G20">
        <v>21.5</v>
      </c>
      <c r="H20">
        <v>22.7</v>
      </c>
      <c r="I20">
        <v>21.5</v>
      </c>
      <c r="J20">
        <v>22.7</v>
      </c>
      <c r="K20">
        <v>21.5</v>
      </c>
    </row>
    <row r="21" spans="1:11" x14ac:dyDescent="0.4">
      <c r="A21" s="20">
        <v>45970</v>
      </c>
      <c r="B21" t="s">
        <v>55</v>
      </c>
      <c r="C21" t="s">
        <v>56</v>
      </c>
      <c r="D21">
        <v>71.8</v>
      </c>
      <c r="E21">
        <v>65.599999999999994</v>
      </c>
      <c r="F21">
        <v>71.8</v>
      </c>
      <c r="G21">
        <v>65.599999999999994</v>
      </c>
      <c r="H21">
        <v>76.2</v>
      </c>
      <c r="I21">
        <v>70.3</v>
      </c>
      <c r="J21">
        <v>76.2</v>
      </c>
      <c r="K21">
        <v>70.3</v>
      </c>
    </row>
    <row r="22" spans="1:11" x14ac:dyDescent="0.4">
      <c r="A22" s="20">
        <v>45822</v>
      </c>
      <c r="B22" t="s">
        <v>57</v>
      </c>
      <c r="C22" t="s">
        <v>58</v>
      </c>
      <c r="E22">
        <v>6.1</v>
      </c>
      <c r="F22">
        <v>6.7</v>
      </c>
      <c r="G22">
        <v>6.1</v>
      </c>
      <c r="I22">
        <v>5.8</v>
      </c>
      <c r="J22">
        <v>6.8</v>
      </c>
      <c r="K22">
        <v>5.8</v>
      </c>
    </row>
    <row r="23" spans="1:11" x14ac:dyDescent="0.4">
      <c r="A23" s="20">
        <v>45929</v>
      </c>
      <c r="B23" t="s">
        <v>59</v>
      </c>
      <c r="C23" t="s">
        <v>60</v>
      </c>
      <c r="F23">
        <v>84.7</v>
      </c>
      <c r="G23">
        <v>84.7</v>
      </c>
      <c r="J23">
        <v>88.6</v>
      </c>
      <c r="K23">
        <v>88.6</v>
      </c>
    </row>
    <row r="24" spans="1:11" x14ac:dyDescent="0.4">
      <c r="A24" s="20">
        <v>45609</v>
      </c>
      <c r="B24" t="s">
        <v>61</v>
      </c>
      <c r="C24" t="s">
        <v>62</v>
      </c>
      <c r="D24">
        <v>950</v>
      </c>
      <c r="F24">
        <v>950</v>
      </c>
      <c r="G24">
        <v>950</v>
      </c>
      <c r="H24">
        <v>1200</v>
      </c>
      <c r="J24">
        <v>1200</v>
      </c>
      <c r="K24">
        <v>1200</v>
      </c>
    </row>
    <row r="25" spans="1:11" x14ac:dyDescent="0.4">
      <c r="A25" s="20">
        <v>45899</v>
      </c>
      <c r="B25" t="s">
        <v>63</v>
      </c>
      <c r="C25" t="s">
        <v>64</v>
      </c>
      <c r="E25">
        <v>1.1000000000000001</v>
      </c>
      <c r="F25">
        <v>4.0999999999999996</v>
      </c>
      <c r="G25">
        <v>1.1000000000000001</v>
      </c>
      <c r="H25">
        <v>1.3</v>
      </c>
      <c r="I25">
        <v>0.6</v>
      </c>
      <c r="J25">
        <v>1.3</v>
      </c>
      <c r="K25">
        <v>0.6</v>
      </c>
    </row>
    <row r="26" spans="1:11" x14ac:dyDescent="0.4">
      <c r="A26" s="20">
        <v>45958</v>
      </c>
      <c r="B26" t="s">
        <v>65</v>
      </c>
      <c r="C26" t="s">
        <v>66</v>
      </c>
      <c r="E26">
        <v>25</v>
      </c>
      <c r="F26">
        <v>31.1</v>
      </c>
      <c r="G26">
        <v>25</v>
      </c>
      <c r="H26">
        <v>23.9</v>
      </c>
      <c r="J26">
        <v>23.9</v>
      </c>
      <c r="K26">
        <v>23.9</v>
      </c>
    </row>
    <row r="27" spans="1:11" x14ac:dyDescent="0.4">
      <c r="A27" s="20">
        <v>45971</v>
      </c>
      <c r="B27" t="s">
        <v>67</v>
      </c>
      <c r="C27" t="s">
        <v>68</v>
      </c>
      <c r="E27">
        <v>0</v>
      </c>
      <c r="F27">
        <v>0.9</v>
      </c>
      <c r="G27">
        <v>0</v>
      </c>
      <c r="I27">
        <v>0</v>
      </c>
      <c r="J27">
        <v>0.8</v>
      </c>
      <c r="K27">
        <v>0</v>
      </c>
    </row>
    <row r="28" spans="1:11" x14ac:dyDescent="0.4">
      <c r="B28" t="s">
        <v>69</v>
      </c>
      <c r="C28" t="s">
        <v>70</v>
      </c>
      <c r="F28">
        <v>22.7</v>
      </c>
      <c r="G28">
        <v>18.600000000000001</v>
      </c>
      <c r="I28">
        <v>18.600000000000001</v>
      </c>
      <c r="J28">
        <v>22.7</v>
      </c>
      <c r="K28">
        <v>18.600000000000001</v>
      </c>
    </row>
    <row r="29" spans="1:11" x14ac:dyDescent="0.4">
      <c r="B29" t="s">
        <v>71</v>
      </c>
      <c r="C29" t="s">
        <v>72</v>
      </c>
      <c r="F29">
        <v>15.6</v>
      </c>
      <c r="G29">
        <v>13.4</v>
      </c>
      <c r="H29">
        <v>15.6</v>
      </c>
      <c r="I29">
        <v>13.4</v>
      </c>
      <c r="J29">
        <v>15.6</v>
      </c>
      <c r="K29">
        <v>13.4</v>
      </c>
    </row>
    <row r="30" spans="1:11" x14ac:dyDescent="0.4">
      <c r="A30" s="20">
        <v>45700</v>
      </c>
      <c r="B30" t="s">
        <v>73</v>
      </c>
      <c r="C30" t="s">
        <v>74</v>
      </c>
      <c r="D30">
        <v>404.6</v>
      </c>
      <c r="F30">
        <v>404.6</v>
      </c>
      <c r="G30">
        <v>404.6</v>
      </c>
      <c r="H30">
        <v>425</v>
      </c>
      <c r="J30">
        <v>425</v>
      </c>
      <c r="K30">
        <v>425</v>
      </c>
    </row>
    <row r="31" spans="1:11" x14ac:dyDescent="0.4">
      <c r="A31" s="20">
        <v>45686</v>
      </c>
      <c r="B31" t="s">
        <v>75</v>
      </c>
      <c r="C31" t="s">
        <v>76</v>
      </c>
      <c r="D31">
        <v>18.2</v>
      </c>
      <c r="F31">
        <v>18.2</v>
      </c>
      <c r="G31">
        <v>18.2</v>
      </c>
      <c r="H31">
        <v>27.1</v>
      </c>
      <c r="J31">
        <v>27.1</v>
      </c>
      <c r="K31">
        <v>27.1</v>
      </c>
    </row>
    <row r="32" spans="1:11" x14ac:dyDescent="0.4">
      <c r="A32" s="20">
        <v>45923</v>
      </c>
      <c r="B32" t="s">
        <v>77</v>
      </c>
      <c r="C32" t="s">
        <v>78</v>
      </c>
      <c r="D32">
        <v>90</v>
      </c>
      <c r="F32">
        <v>90</v>
      </c>
      <c r="G32">
        <v>90</v>
      </c>
      <c r="H32">
        <v>46.7</v>
      </c>
      <c r="J32">
        <v>46.7</v>
      </c>
      <c r="K32">
        <v>46.7</v>
      </c>
    </row>
    <row r="33" spans="1:11" x14ac:dyDescent="0.4">
      <c r="A33" s="20">
        <v>45964</v>
      </c>
      <c r="B33" t="s">
        <v>79</v>
      </c>
      <c r="C33" t="s">
        <v>80</v>
      </c>
      <c r="D33">
        <v>12770.7</v>
      </c>
      <c r="F33">
        <v>12770.7</v>
      </c>
      <c r="G33">
        <v>12770.7</v>
      </c>
      <c r="H33">
        <v>13383.7</v>
      </c>
      <c r="J33">
        <v>13383.7</v>
      </c>
      <c r="K33">
        <v>13383.7</v>
      </c>
    </row>
    <row r="34" spans="1:11" x14ac:dyDescent="0.4">
      <c r="A34" s="20">
        <v>45959</v>
      </c>
      <c r="B34" t="s">
        <v>81</v>
      </c>
      <c r="C34" t="s">
        <v>82</v>
      </c>
      <c r="D34">
        <v>104.7</v>
      </c>
      <c r="E34">
        <v>74.3</v>
      </c>
      <c r="F34">
        <v>104.7</v>
      </c>
      <c r="G34">
        <v>74.3</v>
      </c>
      <c r="H34">
        <v>84.5</v>
      </c>
      <c r="I34">
        <v>1.3</v>
      </c>
      <c r="J34">
        <v>84.5</v>
      </c>
      <c r="K34">
        <v>1.3</v>
      </c>
    </row>
    <row r="35" spans="1:11" x14ac:dyDescent="0.4">
      <c r="B35" t="s">
        <v>83</v>
      </c>
      <c r="C35" t="s">
        <v>84</v>
      </c>
      <c r="F35">
        <v>106.9</v>
      </c>
      <c r="G35">
        <v>79.5</v>
      </c>
      <c r="H35">
        <v>106.9</v>
      </c>
      <c r="I35">
        <v>79.5</v>
      </c>
      <c r="J35">
        <v>106.9</v>
      </c>
      <c r="K35">
        <v>79.5</v>
      </c>
    </row>
    <row r="36" spans="1:11" x14ac:dyDescent="0.4">
      <c r="B36" t="s">
        <v>85</v>
      </c>
      <c r="C36" t="s">
        <v>86</v>
      </c>
      <c r="F36">
        <v>1377.1</v>
      </c>
      <c r="G36">
        <v>1111.0999999999999</v>
      </c>
      <c r="H36">
        <v>1377.1</v>
      </c>
      <c r="I36">
        <v>1111.0999999999999</v>
      </c>
      <c r="J36">
        <v>1377.1</v>
      </c>
      <c r="K36">
        <v>1111.0999999999999</v>
      </c>
    </row>
    <row r="37" spans="1:11" x14ac:dyDescent="0.4">
      <c r="B37" t="s">
        <v>87</v>
      </c>
      <c r="C37" t="s">
        <v>88</v>
      </c>
      <c r="F37">
        <v>12</v>
      </c>
      <c r="G37">
        <v>7.1</v>
      </c>
      <c r="H37">
        <v>12</v>
      </c>
      <c r="I37">
        <v>7.1</v>
      </c>
      <c r="J37">
        <v>12</v>
      </c>
      <c r="K37">
        <v>7.1</v>
      </c>
    </row>
    <row r="38" spans="1:11" x14ac:dyDescent="0.4">
      <c r="B38" t="s">
        <v>89</v>
      </c>
      <c r="C38" t="s">
        <v>90</v>
      </c>
      <c r="F38">
        <v>0.1</v>
      </c>
      <c r="G38">
        <v>0</v>
      </c>
      <c r="I38">
        <v>0</v>
      </c>
      <c r="J38">
        <v>0.1</v>
      </c>
      <c r="K38">
        <v>0</v>
      </c>
    </row>
    <row r="39" spans="1:11" x14ac:dyDescent="0.4">
      <c r="A39" s="20">
        <v>45926</v>
      </c>
      <c r="B39" t="s">
        <v>91</v>
      </c>
      <c r="C39" t="s">
        <v>92</v>
      </c>
      <c r="D39">
        <v>158</v>
      </c>
      <c r="F39">
        <v>158</v>
      </c>
      <c r="G39">
        <v>158</v>
      </c>
      <c r="H39">
        <v>169.4</v>
      </c>
      <c r="J39">
        <v>169.4</v>
      </c>
      <c r="K39">
        <v>169.4</v>
      </c>
    </row>
    <row r="40" spans="1:11" x14ac:dyDescent="0.4">
      <c r="B40" t="s">
        <v>93</v>
      </c>
      <c r="C40" t="s">
        <v>94</v>
      </c>
      <c r="F40">
        <v>-1.3</v>
      </c>
      <c r="G40">
        <v>-1.8</v>
      </c>
      <c r="I40">
        <v>-1.8</v>
      </c>
      <c r="J40">
        <v>-1.3</v>
      </c>
      <c r="K40">
        <v>-1.8</v>
      </c>
    </row>
    <row r="41" spans="1:11" x14ac:dyDescent="0.4">
      <c r="A41" s="20">
        <v>45964</v>
      </c>
      <c r="B41" t="s">
        <v>95</v>
      </c>
      <c r="C41" t="s">
        <v>96</v>
      </c>
      <c r="D41">
        <v>1.1000000000000001</v>
      </c>
      <c r="E41">
        <v>0.8</v>
      </c>
      <c r="F41">
        <v>1.1000000000000001</v>
      </c>
      <c r="G41">
        <v>0.8</v>
      </c>
      <c r="H41">
        <v>0.8</v>
      </c>
      <c r="I41">
        <v>0.8</v>
      </c>
      <c r="J41">
        <v>0.8</v>
      </c>
      <c r="K41">
        <v>0.8</v>
      </c>
    </row>
    <row r="42" spans="1:11" x14ac:dyDescent="0.4">
      <c r="B42" t="s">
        <v>97</v>
      </c>
      <c r="C42" t="s">
        <v>98</v>
      </c>
      <c r="F42">
        <v>9.1</v>
      </c>
      <c r="G42">
        <v>9.1</v>
      </c>
      <c r="H42">
        <v>9.1</v>
      </c>
      <c r="J42">
        <v>9.1</v>
      </c>
      <c r="K42">
        <v>9.1</v>
      </c>
    </row>
    <row r="43" spans="1:11" x14ac:dyDescent="0.4">
      <c r="A43" s="20">
        <v>45715</v>
      </c>
      <c r="B43" t="s">
        <v>99</v>
      </c>
      <c r="C43" t="s">
        <v>100</v>
      </c>
      <c r="F43">
        <v>34.200000000000003</v>
      </c>
      <c r="G43">
        <v>34.200000000000003</v>
      </c>
      <c r="J43">
        <v>32.6</v>
      </c>
      <c r="K43">
        <v>32.6</v>
      </c>
    </row>
    <row r="44" spans="1:11" x14ac:dyDescent="0.4">
      <c r="B44" t="s">
        <v>101</v>
      </c>
      <c r="C44" t="s">
        <v>102</v>
      </c>
      <c r="F44">
        <v>2.7</v>
      </c>
      <c r="G44">
        <v>1.8</v>
      </c>
      <c r="H44">
        <v>2.7</v>
      </c>
      <c r="I44">
        <v>1.8</v>
      </c>
      <c r="J44">
        <v>2.7</v>
      </c>
      <c r="K44">
        <v>1.8</v>
      </c>
    </row>
    <row r="45" spans="1:11" x14ac:dyDescent="0.4">
      <c r="B45" t="s">
        <v>103</v>
      </c>
      <c r="C45" t="s">
        <v>104</v>
      </c>
      <c r="F45">
        <v>0.2</v>
      </c>
      <c r="G45">
        <v>0.1</v>
      </c>
      <c r="I45">
        <v>0.1</v>
      </c>
      <c r="J45">
        <v>0.2</v>
      </c>
      <c r="K45">
        <v>0.1</v>
      </c>
    </row>
    <row r="46" spans="1:11" x14ac:dyDescent="0.4">
      <c r="B46" t="s">
        <v>105</v>
      </c>
      <c r="C46" t="s">
        <v>106</v>
      </c>
      <c r="F46">
        <v>47.4</v>
      </c>
      <c r="G46">
        <v>37.200000000000003</v>
      </c>
      <c r="H46">
        <v>47.4</v>
      </c>
      <c r="I46">
        <v>37.200000000000003</v>
      </c>
      <c r="J46">
        <v>47.4</v>
      </c>
      <c r="K46">
        <v>37.200000000000003</v>
      </c>
    </row>
    <row r="47" spans="1:11" x14ac:dyDescent="0.4">
      <c r="B47" t="s">
        <v>107</v>
      </c>
      <c r="C47" t="s">
        <v>108</v>
      </c>
      <c r="F47">
        <v>287.8</v>
      </c>
      <c r="G47">
        <v>240.7</v>
      </c>
      <c r="H47">
        <v>287.8</v>
      </c>
      <c r="I47">
        <v>240.7</v>
      </c>
      <c r="J47">
        <v>287.8</v>
      </c>
      <c r="K47">
        <v>240.7</v>
      </c>
    </row>
    <row r="48" spans="1:11" x14ac:dyDescent="0.4">
      <c r="A48" s="20">
        <v>45694</v>
      </c>
      <c r="B48" t="s">
        <v>109</v>
      </c>
      <c r="C48" t="s">
        <v>110</v>
      </c>
      <c r="D48">
        <v>121.2</v>
      </c>
      <c r="E48">
        <v>110.6</v>
      </c>
      <c r="F48">
        <v>121.2</v>
      </c>
      <c r="G48">
        <v>110.6</v>
      </c>
      <c r="J48">
        <v>86.4</v>
      </c>
      <c r="K48">
        <v>86.4</v>
      </c>
    </row>
    <row r="49" spans="1:11" x14ac:dyDescent="0.4">
      <c r="B49" t="s">
        <v>111</v>
      </c>
      <c r="C49" t="s">
        <v>112</v>
      </c>
      <c r="F49">
        <v>441.5</v>
      </c>
      <c r="G49">
        <v>350.4</v>
      </c>
      <c r="I49">
        <v>350.4</v>
      </c>
      <c r="J49">
        <v>441.5</v>
      </c>
      <c r="K49">
        <v>350.4</v>
      </c>
    </row>
    <row r="50" spans="1:11" x14ac:dyDescent="0.4">
      <c r="B50" t="s">
        <v>113</v>
      </c>
      <c r="C50" t="s">
        <v>114</v>
      </c>
      <c r="F50">
        <v>13.7</v>
      </c>
      <c r="G50">
        <v>11.5</v>
      </c>
      <c r="H50">
        <v>13.7</v>
      </c>
      <c r="I50">
        <v>11.5</v>
      </c>
      <c r="J50">
        <v>13.7</v>
      </c>
      <c r="K50">
        <v>11.5</v>
      </c>
    </row>
    <row r="51" spans="1:11" x14ac:dyDescent="0.4">
      <c r="A51" s="20">
        <v>45926</v>
      </c>
      <c r="B51" t="s">
        <v>115</v>
      </c>
      <c r="C51" t="s">
        <v>116</v>
      </c>
      <c r="D51">
        <v>140.80000000000001</v>
      </c>
      <c r="E51">
        <v>70.7</v>
      </c>
      <c r="F51">
        <v>140.80000000000001</v>
      </c>
      <c r="G51">
        <v>70.7</v>
      </c>
      <c r="H51">
        <v>347.4</v>
      </c>
      <c r="I51">
        <v>126.3</v>
      </c>
      <c r="J51">
        <v>347.4</v>
      </c>
      <c r="K51">
        <v>126.3</v>
      </c>
    </row>
    <row r="52" spans="1:11" x14ac:dyDescent="0.4">
      <c r="A52" s="20">
        <v>45966</v>
      </c>
      <c r="B52" t="s">
        <v>117</v>
      </c>
      <c r="C52" t="s">
        <v>118</v>
      </c>
      <c r="D52">
        <v>1424.6</v>
      </c>
      <c r="F52">
        <v>1424.6</v>
      </c>
      <c r="G52">
        <v>1424.6</v>
      </c>
      <c r="H52">
        <v>2093.3000000000002</v>
      </c>
      <c r="J52">
        <v>2093.3000000000002</v>
      </c>
      <c r="K52">
        <v>2093.3000000000002</v>
      </c>
    </row>
    <row r="53" spans="1:11" x14ac:dyDescent="0.4">
      <c r="A53" s="20">
        <v>45967</v>
      </c>
      <c r="B53" t="s">
        <v>119</v>
      </c>
      <c r="C53" t="s">
        <v>120</v>
      </c>
      <c r="D53">
        <v>1.3</v>
      </c>
      <c r="E53">
        <v>0.6</v>
      </c>
      <c r="F53">
        <v>1.3</v>
      </c>
      <c r="G53">
        <v>0.6</v>
      </c>
      <c r="H53">
        <v>0.6</v>
      </c>
      <c r="I53">
        <v>0.1</v>
      </c>
      <c r="J53">
        <v>0.6</v>
      </c>
      <c r="K53">
        <v>0.1</v>
      </c>
    </row>
    <row r="54" spans="1:11" x14ac:dyDescent="0.4">
      <c r="A54" s="20">
        <v>45924</v>
      </c>
      <c r="B54" t="s">
        <v>121</v>
      </c>
      <c r="C54" t="s">
        <v>122</v>
      </c>
      <c r="E54">
        <v>0.2</v>
      </c>
      <c r="F54">
        <v>0.2</v>
      </c>
      <c r="G54">
        <v>0.2</v>
      </c>
      <c r="I54">
        <v>0.1</v>
      </c>
      <c r="J54">
        <v>0.2</v>
      </c>
      <c r="K54">
        <v>0.1</v>
      </c>
    </row>
    <row r="55" spans="1:11" x14ac:dyDescent="0.4">
      <c r="B55" t="s">
        <v>123</v>
      </c>
      <c r="C55" t="s">
        <v>124</v>
      </c>
      <c r="F55">
        <v>0</v>
      </c>
      <c r="G55">
        <v>0</v>
      </c>
      <c r="H55">
        <v>0</v>
      </c>
      <c r="J55">
        <v>0</v>
      </c>
      <c r="K55">
        <v>0</v>
      </c>
    </row>
    <row r="56" spans="1:11" x14ac:dyDescent="0.4">
      <c r="A56" s="20">
        <v>45687</v>
      </c>
      <c r="B56" t="s">
        <v>125</v>
      </c>
      <c r="C56" t="s">
        <v>126</v>
      </c>
      <c r="D56">
        <v>155.30000000000001</v>
      </c>
      <c r="F56">
        <v>155.30000000000001</v>
      </c>
      <c r="G56">
        <v>155.30000000000001</v>
      </c>
      <c r="H56">
        <v>261.60000000000002</v>
      </c>
      <c r="J56">
        <v>261.60000000000002</v>
      </c>
      <c r="K56">
        <v>261.60000000000002</v>
      </c>
    </row>
    <row r="57" spans="1:11" x14ac:dyDescent="0.4">
      <c r="B57" t="s">
        <v>127</v>
      </c>
      <c r="C57" t="s">
        <v>128</v>
      </c>
      <c r="F57">
        <v>29.3</v>
      </c>
      <c r="G57">
        <v>20.9</v>
      </c>
      <c r="H57">
        <v>29.3</v>
      </c>
      <c r="I57">
        <v>20.9</v>
      </c>
      <c r="J57">
        <v>29.3</v>
      </c>
      <c r="K57">
        <v>20.9</v>
      </c>
    </row>
    <row r="58" spans="1:11" x14ac:dyDescent="0.4">
      <c r="B58" t="s">
        <v>129</v>
      </c>
      <c r="C58" t="s">
        <v>130</v>
      </c>
      <c r="F58">
        <v>87</v>
      </c>
      <c r="G58">
        <v>47.6</v>
      </c>
      <c r="H58">
        <v>87</v>
      </c>
      <c r="I58">
        <v>47.6</v>
      </c>
      <c r="J58">
        <v>87</v>
      </c>
      <c r="K58">
        <v>47.6</v>
      </c>
    </row>
    <row r="59" spans="1:11" x14ac:dyDescent="0.4">
      <c r="A59" s="20">
        <v>45967</v>
      </c>
      <c r="B59" t="s">
        <v>131</v>
      </c>
      <c r="C59" t="s">
        <v>132</v>
      </c>
      <c r="D59">
        <v>83.1</v>
      </c>
      <c r="E59">
        <v>51</v>
      </c>
      <c r="F59">
        <v>83.1</v>
      </c>
      <c r="G59">
        <v>51</v>
      </c>
      <c r="H59">
        <v>32.700000000000003</v>
      </c>
      <c r="I59">
        <v>31</v>
      </c>
      <c r="J59">
        <v>32.700000000000003</v>
      </c>
      <c r="K59">
        <v>31</v>
      </c>
    </row>
    <row r="60" spans="1:11" x14ac:dyDescent="0.4">
      <c r="B60" t="s">
        <v>133</v>
      </c>
      <c r="C60" t="s">
        <v>134</v>
      </c>
      <c r="F60">
        <v>6.4</v>
      </c>
      <c r="G60">
        <v>3.5</v>
      </c>
      <c r="H60">
        <v>6.4</v>
      </c>
      <c r="I60">
        <v>3.5</v>
      </c>
      <c r="J60">
        <v>6.4</v>
      </c>
      <c r="K60">
        <v>3.5</v>
      </c>
    </row>
    <row r="61" spans="1:11" x14ac:dyDescent="0.4">
      <c r="B61" t="s">
        <v>135</v>
      </c>
      <c r="C61" t="s">
        <v>136</v>
      </c>
      <c r="F61">
        <v>17</v>
      </c>
      <c r="G61">
        <v>13.3</v>
      </c>
      <c r="H61">
        <v>17</v>
      </c>
      <c r="I61">
        <v>13.3</v>
      </c>
      <c r="J61">
        <v>17</v>
      </c>
      <c r="K61">
        <v>13.3</v>
      </c>
    </row>
    <row r="62" spans="1:11" x14ac:dyDescent="0.4">
      <c r="B62" t="s">
        <v>137</v>
      </c>
      <c r="C62" t="s">
        <v>138</v>
      </c>
      <c r="F62">
        <v>13.4</v>
      </c>
      <c r="G62">
        <v>8.6999999999999993</v>
      </c>
      <c r="I62">
        <v>8.6999999999999993</v>
      </c>
      <c r="J62">
        <v>13.4</v>
      </c>
      <c r="K62">
        <v>8.6999999999999993</v>
      </c>
    </row>
    <row r="63" spans="1:11" x14ac:dyDescent="0.4">
      <c r="B63" t="s">
        <v>139</v>
      </c>
      <c r="C63" t="s">
        <v>140</v>
      </c>
      <c r="F63">
        <v>0.4</v>
      </c>
      <c r="G63">
        <v>0.1</v>
      </c>
      <c r="I63">
        <v>0.1</v>
      </c>
      <c r="J63">
        <v>0.4</v>
      </c>
      <c r="K63">
        <v>0.1</v>
      </c>
    </row>
    <row r="64" spans="1:11" x14ac:dyDescent="0.4">
      <c r="B64" t="s">
        <v>141</v>
      </c>
      <c r="C64" t="s">
        <v>142</v>
      </c>
      <c r="F64">
        <v>67.2</v>
      </c>
      <c r="G64">
        <v>58.8</v>
      </c>
      <c r="H64">
        <v>67.2</v>
      </c>
      <c r="I64">
        <v>58.8</v>
      </c>
      <c r="J64">
        <v>67.2</v>
      </c>
      <c r="K64">
        <v>58.8</v>
      </c>
    </row>
    <row r="65" spans="1:11" x14ac:dyDescent="0.4">
      <c r="B65" t="s">
        <v>143</v>
      </c>
      <c r="C65" t="s">
        <v>144</v>
      </c>
      <c r="F65">
        <v>16.8</v>
      </c>
      <c r="G65">
        <v>16.8</v>
      </c>
      <c r="J65">
        <v>16.8</v>
      </c>
      <c r="K65">
        <v>16.8</v>
      </c>
    </row>
    <row r="66" spans="1:11" x14ac:dyDescent="0.4">
      <c r="B66" t="s">
        <v>145</v>
      </c>
      <c r="C66" t="s">
        <v>146</v>
      </c>
      <c r="F66">
        <v>35.1</v>
      </c>
      <c r="G66">
        <v>30.4</v>
      </c>
      <c r="I66">
        <v>30.4</v>
      </c>
      <c r="J66">
        <v>35.1</v>
      </c>
      <c r="K66">
        <v>30.4</v>
      </c>
    </row>
    <row r="67" spans="1:11" x14ac:dyDescent="0.4">
      <c r="B67" t="s">
        <v>147</v>
      </c>
      <c r="C67" t="s">
        <v>148</v>
      </c>
      <c r="F67">
        <v>18</v>
      </c>
      <c r="G67">
        <v>13.1</v>
      </c>
      <c r="H67">
        <v>18</v>
      </c>
      <c r="I67">
        <v>13.1</v>
      </c>
      <c r="J67">
        <v>18</v>
      </c>
      <c r="K67">
        <v>13.1</v>
      </c>
    </row>
    <row r="68" spans="1:11" x14ac:dyDescent="0.4">
      <c r="A68" s="20">
        <v>45957</v>
      </c>
      <c r="B68" t="s">
        <v>149</v>
      </c>
      <c r="C68" t="s">
        <v>150</v>
      </c>
      <c r="D68">
        <v>1787</v>
      </c>
      <c r="E68">
        <v>1373.3</v>
      </c>
      <c r="F68">
        <v>1787</v>
      </c>
      <c r="G68">
        <v>1373.3</v>
      </c>
      <c r="H68">
        <v>1972.5</v>
      </c>
      <c r="I68">
        <v>1651.5</v>
      </c>
      <c r="J68">
        <v>1972.5</v>
      </c>
      <c r="K68">
        <v>1651.5</v>
      </c>
    </row>
    <row r="69" spans="1:11" x14ac:dyDescent="0.4">
      <c r="B69" t="s">
        <v>151</v>
      </c>
      <c r="C69" t="s">
        <v>152</v>
      </c>
      <c r="F69">
        <v>4140.1000000000004</v>
      </c>
      <c r="G69">
        <v>4976.3</v>
      </c>
      <c r="I69">
        <v>4976.3</v>
      </c>
      <c r="J69">
        <v>4140.1000000000004</v>
      </c>
      <c r="K69">
        <v>4976.3</v>
      </c>
    </row>
    <row r="70" spans="1:11" x14ac:dyDescent="0.4">
      <c r="B70" t="s">
        <v>153</v>
      </c>
      <c r="C70" t="s">
        <v>154</v>
      </c>
      <c r="F70">
        <v>895.5</v>
      </c>
      <c r="G70">
        <v>895.5</v>
      </c>
      <c r="J70">
        <v>895.5</v>
      </c>
      <c r="K70">
        <v>895.5</v>
      </c>
    </row>
    <row r="71" spans="1:11" x14ac:dyDescent="0.4">
      <c r="B71" t="s">
        <v>155</v>
      </c>
      <c r="C71" t="s">
        <v>156</v>
      </c>
      <c r="F71">
        <v>364.9</v>
      </c>
      <c r="G71">
        <v>364.9</v>
      </c>
      <c r="J71">
        <v>364.9</v>
      </c>
      <c r="K71">
        <v>364.9</v>
      </c>
    </row>
    <row r="72" spans="1:11" x14ac:dyDescent="0.4">
      <c r="A72" s="20">
        <v>45930</v>
      </c>
      <c r="B72" t="s">
        <v>157</v>
      </c>
      <c r="C72" t="s">
        <v>158</v>
      </c>
      <c r="D72">
        <v>9</v>
      </c>
      <c r="F72">
        <v>9</v>
      </c>
      <c r="G72">
        <v>9</v>
      </c>
      <c r="H72">
        <v>6</v>
      </c>
      <c r="J72">
        <v>6</v>
      </c>
      <c r="K72">
        <v>6</v>
      </c>
    </row>
    <row r="73" spans="1:11" x14ac:dyDescent="0.4">
      <c r="B73" t="s">
        <v>159</v>
      </c>
      <c r="C73" t="s">
        <v>160</v>
      </c>
      <c r="F73">
        <v>57.7</v>
      </c>
      <c r="G73">
        <v>57.7</v>
      </c>
      <c r="H73">
        <v>57.7</v>
      </c>
      <c r="J73">
        <v>57.7</v>
      </c>
      <c r="K73">
        <v>57.7</v>
      </c>
    </row>
    <row r="74" spans="1:11" x14ac:dyDescent="0.4">
      <c r="A74" s="20">
        <v>45922</v>
      </c>
      <c r="B74" t="s">
        <v>161</v>
      </c>
      <c r="C74" t="s">
        <v>162</v>
      </c>
      <c r="D74">
        <v>5.7</v>
      </c>
      <c r="E74">
        <v>5.5</v>
      </c>
      <c r="F74">
        <v>5.7</v>
      </c>
      <c r="G74">
        <v>5.5</v>
      </c>
      <c r="H74">
        <v>7.4</v>
      </c>
      <c r="I74">
        <v>7.2</v>
      </c>
      <c r="J74">
        <v>7.4</v>
      </c>
      <c r="K74">
        <v>7.2</v>
      </c>
    </row>
    <row r="75" spans="1:11" x14ac:dyDescent="0.4">
      <c r="B75" t="s">
        <v>163</v>
      </c>
      <c r="C75" t="s">
        <v>164</v>
      </c>
      <c r="F75">
        <v>41.8</v>
      </c>
      <c r="G75">
        <v>30.4</v>
      </c>
      <c r="H75">
        <v>41.8</v>
      </c>
      <c r="I75">
        <v>30.4</v>
      </c>
      <c r="J75">
        <v>41.8</v>
      </c>
      <c r="K75">
        <v>30.4</v>
      </c>
    </row>
    <row r="76" spans="1:11" x14ac:dyDescent="0.4">
      <c r="A76" s="20">
        <v>45706</v>
      </c>
      <c r="B76" t="s">
        <v>165</v>
      </c>
      <c r="C76" t="s">
        <v>166</v>
      </c>
      <c r="D76">
        <v>570</v>
      </c>
      <c r="F76">
        <v>570</v>
      </c>
      <c r="G76">
        <v>570</v>
      </c>
      <c r="H76">
        <v>760.3</v>
      </c>
      <c r="J76">
        <v>760.3</v>
      </c>
      <c r="K76">
        <v>760.3</v>
      </c>
    </row>
    <row r="77" spans="1:11" x14ac:dyDescent="0.4">
      <c r="B77" t="s">
        <v>167</v>
      </c>
      <c r="C77" t="s">
        <v>168</v>
      </c>
      <c r="F77">
        <v>323.2</v>
      </c>
      <c r="G77">
        <v>285.10000000000002</v>
      </c>
      <c r="H77">
        <v>323.2</v>
      </c>
      <c r="I77">
        <v>285.10000000000002</v>
      </c>
      <c r="J77">
        <v>323.2</v>
      </c>
      <c r="K77">
        <v>285.10000000000002</v>
      </c>
    </row>
    <row r="78" spans="1:11" x14ac:dyDescent="0.4">
      <c r="A78" s="20">
        <v>45777</v>
      </c>
      <c r="B78" t="s">
        <v>169</v>
      </c>
      <c r="C78" t="s">
        <v>170</v>
      </c>
      <c r="D78">
        <v>200</v>
      </c>
      <c r="E78">
        <v>139.80000000000001</v>
      </c>
      <c r="F78">
        <v>200</v>
      </c>
      <c r="G78">
        <v>139.80000000000001</v>
      </c>
      <c r="I78">
        <v>98</v>
      </c>
      <c r="J78">
        <v>143.69999999999999</v>
      </c>
      <c r="K78">
        <v>98</v>
      </c>
    </row>
    <row r="79" spans="1:11" x14ac:dyDescent="0.4">
      <c r="A79" s="20">
        <v>45932</v>
      </c>
      <c r="B79" t="s">
        <v>171</v>
      </c>
      <c r="C79" t="s">
        <v>172</v>
      </c>
      <c r="D79">
        <v>20</v>
      </c>
      <c r="E79">
        <v>14.7</v>
      </c>
      <c r="F79">
        <v>20</v>
      </c>
      <c r="G79">
        <v>14.7</v>
      </c>
      <c r="H79">
        <v>12.5</v>
      </c>
      <c r="I79">
        <v>8.4</v>
      </c>
      <c r="J79">
        <v>12.5</v>
      </c>
      <c r="K79">
        <v>8.4</v>
      </c>
    </row>
    <row r="80" spans="1:11" x14ac:dyDescent="0.4">
      <c r="A80" s="20">
        <v>45877</v>
      </c>
      <c r="B80" t="s">
        <v>173</v>
      </c>
      <c r="C80" t="s">
        <v>174</v>
      </c>
      <c r="D80">
        <v>112.1</v>
      </c>
      <c r="E80">
        <v>60.4</v>
      </c>
      <c r="F80">
        <v>112.1</v>
      </c>
      <c r="G80">
        <v>60.4</v>
      </c>
      <c r="I80">
        <v>91.4</v>
      </c>
      <c r="J80">
        <v>155.9</v>
      </c>
      <c r="K80">
        <v>91.4</v>
      </c>
    </row>
    <row r="81" spans="1:11" x14ac:dyDescent="0.4">
      <c r="B81" t="s">
        <v>175</v>
      </c>
      <c r="C81" t="s">
        <v>176</v>
      </c>
      <c r="F81">
        <v>0.1</v>
      </c>
      <c r="G81">
        <v>0.1</v>
      </c>
      <c r="H81">
        <v>0.1</v>
      </c>
      <c r="I81">
        <v>0.1</v>
      </c>
      <c r="J81">
        <v>0.1</v>
      </c>
      <c r="K81">
        <v>0.1</v>
      </c>
    </row>
    <row r="82" spans="1:11" x14ac:dyDescent="0.4">
      <c r="B82" t="s">
        <v>177</v>
      </c>
      <c r="C82" t="s">
        <v>178</v>
      </c>
      <c r="F82">
        <v>0.3</v>
      </c>
      <c r="G82">
        <v>0.1</v>
      </c>
      <c r="I82">
        <v>0.1</v>
      </c>
      <c r="J82">
        <v>0.3</v>
      </c>
      <c r="K82">
        <v>0.1</v>
      </c>
    </row>
    <row r="83" spans="1:11" x14ac:dyDescent="0.4">
      <c r="B83" t="s">
        <v>179</v>
      </c>
      <c r="C83" t="s">
        <v>180</v>
      </c>
      <c r="F83">
        <v>436.6</v>
      </c>
      <c r="G83">
        <v>436.6</v>
      </c>
      <c r="H83">
        <v>436.6</v>
      </c>
      <c r="J83">
        <v>436.6</v>
      </c>
      <c r="K83">
        <v>436.6</v>
      </c>
    </row>
    <row r="84" spans="1:11" x14ac:dyDescent="0.4">
      <c r="B84" t="s">
        <v>181</v>
      </c>
      <c r="C84" t="s">
        <v>182</v>
      </c>
      <c r="F84">
        <v>133.9</v>
      </c>
      <c r="G84">
        <v>133.9</v>
      </c>
      <c r="H84">
        <v>133.9</v>
      </c>
      <c r="J84">
        <v>133.9</v>
      </c>
      <c r="K84">
        <v>133.9</v>
      </c>
    </row>
    <row r="85" spans="1:11" x14ac:dyDescent="0.4">
      <c r="B85" t="s">
        <v>183</v>
      </c>
      <c r="C85" t="s">
        <v>184</v>
      </c>
      <c r="F85">
        <v>41.9</v>
      </c>
      <c r="G85">
        <v>41.9</v>
      </c>
      <c r="H85">
        <v>41.9</v>
      </c>
      <c r="J85">
        <v>41.9</v>
      </c>
      <c r="K85">
        <v>41.9</v>
      </c>
    </row>
    <row r="86" spans="1:11" x14ac:dyDescent="0.4">
      <c r="A86" s="20">
        <v>45930</v>
      </c>
      <c r="B86" t="s">
        <v>185</v>
      </c>
      <c r="C86" t="s">
        <v>186</v>
      </c>
      <c r="D86">
        <v>28.2</v>
      </c>
      <c r="E86">
        <v>23.9</v>
      </c>
      <c r="F86">
        <v>28.2</v>
      </c>
      <c r="G86">
        <v>23.9</v>
      </c>
      <c r="H86">
        <v>32.700000000000003</v>
      </c>
      <c r="I86">
        <v>28.4</v>
      </c>
      <c r="J86">
        <v>32.700000000000003</v>
      </c>
      <c r="K86">
        <v>28.4</v>
      </c>
    </row>
    <row r="87" spans="1:11" x14ac:dyDescent="0.4">
      <c r="A87" s="20">
        <v>45924</v>
      </c>
      <c r="B87" t="s">
        <v>187</v>
      </c>
      <c r="C87" t="s">
        <v>188</v>
      </c>
      <c r="D87">
        <v>50</v>
      </c>
      <c r="E87">
        <v>20.100000000000001</v>
      </c>
      <c r="F87">
        <v>50</v>
      </c>
      <c r="G87">
        <v>20.100000000000001</v>
      </c>
      <c r="H87">
        <v>11.2</v>
      </c>
      <c r="I87">
        <v>4.5</v>
      </c>
      <c r="J87">
        <v>11.2</v>
      </c>
      <c r="K87">
        <v>4.5</v>
      </c>
    </row>
    <row r="88" spans="1:11" x14ac:dyDescent="0.4">
      <c r="B88" t="s">
        <v>189</v>
      </c>
      <c r="C88" t="s">
        <v>190</v>
      </c>
      <c r="F88">
        <v>51</v>
      </c>
      <c r="G88">
        <v>51</v>
      </c>
      <c r="J88">
        <v>51</v>
      </c>
      <c r="K88">
        <v>51</v>
      </c>
    </row>
    <row r="89" spans="1:11" x14ac:dyDescent="0.4">
      <c r="A89" s="20">
        <v>45694</v>
      </c>
      <c r="B89" t="s">
        <v>191</v>
      </c>
      <c r="C89" t="s">
        <v>192</v>
      </c>
      <c r="E89">
        <v>0.2</v>
      </c>
      <c r="F89">
        <v>0.5</v>
      </c>
      <c r="G89">
        <v>0.2</v>
      </c>
      <c r="I89">
        <v>0.4</v>
      </c>
      <c r="J89">
        <v>0.4</v>
      </c>
      <c r="K89">
        <v>0.4</v>
      </c>
    </row>
    <row r="90" spans="1:11" x14ac:dyDescent="0.4">
      <c r="A90" s="20">
        <v>45910</v>
      </c>
      <c r="B90" t="s">
        <v>193</v>
      </c>
      <c r="C90" t="s">
        <v>194</v>
      </c>
      <c r="D90">
        <v>0.2</v>
      </c>
      <c r="F90">
        <v>0.2</v>
      </c>
      <c r="G90">
        <v>0.2</v>
      </c>
      <c r="H90">
        <v>0.1</v>
      </c>
      <c r="J90">
        <v>0.1</v>
      </c>
      <c r="K90">
        <v>0.1</v>
      </c>
    </row>
    <row r="91" spans="1:11" x14ac:dyDescent="0.4">
      <c r="A91" s="20">
        <v>45926</v>
      </c>
      <c r="B91" t="s">
        <v>195</v>
      </c>
      <c r="C91" t="s">
        <v>196</v>
      </c>
      <c r="D91">
        <v>41.4</v>
      </c>
      <c r="E91">
        <v>28.8</v>
      </c>
      <c r="F91">
        <v>41.4</v>
      </c>
      <c r="G91">
        <v>28.8</v>
      </c>
      <c r="H91">
        <v>64.599999999999994</v>
      </c>
      <c r="I91">
        <v>57.5</v>
      </c>
      <c r="J91">
        <v>64.599999999999994</v>
      </c>
      <c r="K91">
        <v>57.5</v>
      </c>
    </row>
    <row r="92" spans="1:11" x14ac:dyDescent="0.4">
      <c r="B92" t="s">
        <v>197</v>
      </c>
      <c r="C92" t="s">
        <v>198</v>
      </c>
      <c r="F92">
        <v>5.2</v>
      </c>
      <c r="G92">
        <v>3.8</v>
      </c>
      <c r="H92">
        <v>5.2</v>
      </c>
      <c r="I92">
        <v>3.8</v>
      </c>
      <c r="J92">
        <v>5.2</v>
      </c>
      <c r="K92">
        <v>3.8</v>
      </c>
    </row>
    <row r="93" spans="1:11" x14ac:dyDescent="0.4">
      <c r="A93" s="20">
        <v>45931</v>
      </c>
      <c r="B93" t="s">
        <v>199</v>
      </c>
      <c r="C93" t="s">
        <v>200</v>
      </c>
      <c r="D93">
        <v>130.5</v>
      </c>
      <c r="E93">
        <v>78.2</v>
      </c>
      <c r="F93">
        <v>130.5</v>
      </c>
      <c r="G93">
        <v>78.2</v>
      </c>
      <c r="H93">
        <v>116.3</v>
      </c>
      <c r="I93">
        <v>77.599999999999994</v>
      </c>
      <c r="J93">
        <v>116.3</v>
      </c>
      <c r="K93">
        <v>77.599999999999994</v>
      </c>
    </row>
    <row r="94" spans="1:11" x14ac:dyDescent="0.4">
      <c r="A94" s="20">
        <v>45854</v>
      </c>
      <c r="B94" t="s">
        <v>201</v>
      </c>
      <c r="C94" t="s">
        <v>202</v>
      </c>
      <c r="D94">
        <v>0</v>
      </c>
      <c r="F94">
        <v>0</v>
      </c>
      <c r="G94">
        <v>0</v>
      </c>
      <c r="H94">
        <v>0</v>
      </c>
      <c r="J94">
        <v>0</v>
      </c>
      <c r="K94">
        <v>0</v>
      </c>
    </row>
    <row r="95" spans="1:11" x14ac:dyDescent="0.4">
      <c r="A95" s="20">
        <v>45783</v>
      </c>
      <c r="B95" t="s">
        <v>203</v>
      </c>
      <c r="C95" t="s">
        <v>204</v>
      </c>
      <c r="D95">
        <v>11</v>
      </c>
      <c r="F95">
        <v>11</v>
      </c>
      <c r="G95">
        <v>11</v>
      </c>
      <c r="H95">
        <v>13</v>
      </c>
      <c r="I95">
        <v>5.2</v>
      </c>
      <c r="J95">
        <v>13</v>
      </c>
      <c r="K95">
        <v>5.2</v>
      </c>
    </row>
    <row r="96" spans="1:11" x14ac:dyDescent="0.4">
      <c r="B96" t="s">
        <v>205</v>
      </c>
      <c r="C96" t="s">
        <v>206</v>
      </c>
      <c r="F96">
        <v>1.1000000000000001</v>
      </c>
      <c r="G96">
        <v>-104.3</v>
      </c>
      <c r="I96">
        <v>-104.3</v>
      </c>
      <c r="J96">
        <v>1.1000000000000001</v>
      </c>
      <c r="K96">
        <v>-104.3</v>
      </c>
    </row>
    <row r="97" spans="1:11" x14ac:dyDescent="0.4">
      <c r="A97" s="20">
        <v>45715</v>
      </c>
      <c r="B97" t="s">
        <v>207</v>
      </c>
      <c r="C97" t="s">
        <v>208</v>
      </c>
      <c r="E97">
        <v>5</v>
      </c>
      <c r="F97">
        <v>6.5</v>
      </c>
      <c r="G97">
        <v>5</v>
      </c>
      <c r="I97">
        <v>2.8</v>
      </c>
      <c r="J97">
        <v>3.7</v>
      </c>
      <c r="K97">
        <v>2.8</v>
      </c>
    </row>
    <row r="98" spans="1:11" x14ac:dyDescent="0.4">
      <c r="B98" t="s">
        <v>209</v>
      </c>
      <c r="C98" t="s">
        <v>210</v>
      </c>
      <c r="F98">
        <v>644.20000000000005</v>
      </c>
      <c r="G98">
        <v>594.6</v>
      </c>
      <c r="H98">
        <v>644.20000000000005</v>
      </c>
      <c r="I98">
        <v>594.6</v>
      </c>
      <c r="J98">
        <v>644.20000000000005</v>
      </c>
      <c r="K98">
        <v>594.6</v>
      </c>
    </row>
    <row r="99" spans="1:11" x14ac:dyDescent="0.4">
      <c r="A99" s="20">
        <v>45698</v>
      </c>
      <c r="B99" t="s">
        <v>211</v>
      </c>
      <c r="C99" t="s">
        <v>212</v>
      </c>
      <c r="E99">
        <v>0.1</v>
      </c>
      <c r="F99">
        <v>0.2</v>
      </c>
      <c r="G99">
        <v>0.1</v>
      </c>
      <c r="I99">
        <v>0.1</v>
      </c>
      <c r="J99">
        <v>0.2</v>
      </c>
      <c r="K99">
        <v>0.1</v>
      </c>
    </row>
    <row r="100" spans="1:11" x14ac:dyDescent="0.4">
      <c r="B100" t="s">
        <v>213</v>
      </c>
      <c r="C100" t="s">
        <v>214</v>
      </c>
      <c r="F100">
        <v>12.4</v>
      </c>
      <c r="G100">
        <v>7.3</v>
      </c>
      <c r="I100">
        <v>7.3</v>
      </c>
      <c r="J100">
        <v>12.4</v>
      </c>
      <c r="K100">
        <v>7.3</v>
      </c>
    </row>
    <row r="101" spans="1:11" x14ac:dyDescent="0.4">
      <c r="B101" t="s">
        <v>215</v>
      </c>
      <c r="C101" t="s">
        <v>216</v>
      </c>
      <c r="F101">
        <v>-207.4</v>
      </c>
      <c r="G101">
        <v>-370.7</v>
      </c>
      <c r="I101">
        <v>-370.7</v>
      </c>
      <c r="J101">
        <v>-207.4</v>
      </c>
      <c r="K101">
        <v>-370.7</v>
      </c>
    </row>
    <row r="102" spans="1:11" x14ac:dyDescent="0.4">
      <c r="B102" t="s">
        <v>217</v>
      </c>
      <c r="C102" t="s">
        <v>218</v>
      </c>
      <c r="F102">
        <v>126.1</v>
      </c>
      <c r="G102">
        <v>95.2</v>
      </c>
      <c r="H102">
        <v>126.1</v>
      </c>
      <c r="I102">
        <v>95.2</v>
      </c>
      <c r="J102">
        <v>126.1</v>
      </c>
      <c r="K102">
        <v>95.2</v>
      </c>
    </row>
    <row r="103" spans="1:11" x14ac:dyDescent="0.4">
      <c r="A103" s="20">
        <v>45709</v>
      </c>
      <c r="B103" t="s">
        <v>219</v>
      </c>
      <c r="C103" t="s">
        <v>220</v>
      </c>
      <c r="D103">
        <v>1.5</v>
      </c>
      <c r="F103">
        <v>1.5</v>
      </c>
      <c r="G103">
        <v>1.5</v>
      </c>
      <c r="H103">
        <v>3.5</v>
      </c>
      <c r="J103">
        <v>3.5</v>
      </c>
      <c r="K103">
        <v>3.5</v>
      </c>
    </row>
    <row r="104" spans="1:11" x14ac:dyDescent="0.4">
      <c r="A104" s="20">
        <v>45924</v>
      </c>
      <c r="B104" t="s">
        <v>221</v>
      </c>
      <c r="C104" t="s">
        <v>222</v>
      </c>
      <c r="D104">
        <v>32.700000000000003</v>
      </c>
      <c r="E104">
        <v>28.8</v>
      </c>
      <c r="F104">
        <v>32.700000000000003</v>
      </c>
      <c r="G104">
        <v>28.8</v>
      </c>
      <c r="H104">
        <v>80.400000000000006</v>
      </c>
      <c r="I104">
        <v>77.099999999999994</v>
      </c>
      <c r="J104">
        <v>80.400000000000006</v>
      </c>
      <c r="K104">
        <v>77.099999999999994</v>
      </c>
    </row>
    <row r="105" spans="1:11" x14ac:dyDescent="0.4">
      <c r="A105" s="20">
        <v>45966</v>
      </c>
      <c r="B105" t="s">
        <v>223</v>
      </c>
      <c r="C105" t="s">
        <v>224</v>
      </c>
      <c r="E105">
        <v>86.8</v>
      </c>
      <c r="F105">
        <v>108.5</v>
      </c>
      <c r="G105">
        <v>86.8</v>
      </c>
      <c r="I105">
        <v>120.2</v>
      </c>
      <c r="J105">
        <v>99.4</v>
      </c>
      <c r="K105">
        <v>120.2</v>
      </c>
    </row>
    <row r="106" spans="1:11" x14ac:dyDescent="0.4">
      <c r="A106" s="20">
        <v>45958</v>
      </c>
      <c r="B106" t="s">
        <v>225</v>
      </c>
      <c r="C106" t="s">
        <v>226</v>
      </c>
      <c r="D106">
        <v>21.1</v>
      </c>
      <c r="E106">
        <v>7.4</v>
      </c>
      <c r="F106">
        <v>0</v>
      </c>
      <c r="G106">
        <v>0</v>
      </c>
      <c r="H106">
        <v>15.4</v>
      </c>
      <c r="I106">
        <v>1.3</v>
      </c>
      <c r="J106">
        <v>15.4</v>
      </c>
      <c r="K106">
        <v>1.3</v>
      </c>
    </row>
    <row r="107" spans="1:11" x14ac:dyDescent="0.4">
      <c r="A107" s="20">
        <v>45929</v>
      </c>
      <c r="B107" t="s">
        <v>227</v>
      </c>
      <c r="C107" t="s">
        <v>228</v>
      </c>
      <c r="E107">
        <v>4.4000000000000004</v>
      </c>
      <c r="F107">
        <v>7.4</v>
      </c>
      <c r="G107">
        <v>4.4000000000000004</v>
      </c>
      <c r="I107">
        <v>4.0999999999999996</v>
      </c>
      <c r="J107">
        <v>6.9</v>
      </c>
      <c r="K107">
        <v>4.0999999999999996</v>
      </c>
    </row>
    <row r="108" spans="1:11" x14ac:dyDescent="0.4">
      <c r="B108" t="s">
        <v>229</v>
      </c>
      <c r="C108" t="s">
        <v>230</v>
      </c>
      <c r="F108">
        <v>25.5</v>
      </c>
      <c r="G108">
        <v>20.2</v>
      </c>
      <c r="H108">
        <v>25.5</v>
      </c>
      <c r="I108">
        <v>20.2</v>
      </c>
      <c r="J108">
        <v>25.5</v>
      </c>
      <c r="K108">
        <v>20.2</v>
      </c>
    </row>
    <row r="109" spans="1:11" x14ac:dyDescent="0.4">
      <c r="A109" s="20">
        <v>45954</v>
      </c>
      <c r="B109" t="s">
        <v>231</v>
      </c>
      <c r="C109" t="s">
        <v>232</v>
      </c>
      <c r="D109">
        <v>172.5</v>
      </c>
      <c r="E109">
        <v>160</v>
      </c>
      <c r="F109">
        <v>172.5</v>
      </c>
      <c r="G109">
        <v>160</v>
      </c>
      <c r="H109">
        <v>410.4</v>
      </c>
      <c r="J109">
        <v>410.4</v>
      </c>
      <c r="K109">
        <v>410.4</v>
      </c>
    </row>
    <row r="110" spans="1:11" x14ac:dyDescent="0.4">
      <c r="B110" t="s">
        <v>233</v>
      </c>
      <c r="C110" t="s">
        <v>234</v>
      </c>
      <c r="F110">
        <v>-90.7</v>
      </c>
      <c r="G110">
        <v>-54.8</v>
      </c>
      <c r="I110">
        <v>-54.8</v>
      </c>
      <c r="J110">
        <v>-90.7</v>
      </c>
      <c r="K110">
        <v>-54.8</v>
      </c>
    </row>
    <row r="111" spans="1:11" x14ac:dyDescent="0.4">
      <c r="B111" t="s">
        <v>235</v>
      </c>
      <c r="C111" t="s">
        <v>236</v>
      </c>
      <c r="F111">
        <v>105.8</v>
      </c>
      <c r="G111">
        <v>90.8</v>
      </c>
      <c r="H111">
        <v>105.8</v>
      </c>
      <c r="I111">
        <v>90.8</v>
      </c>
      <c r="J111">
        <v>105.8</v>
      </c>
      <c r="K111">
        <v>90.8</v>
      </c>
    </row>
    <row r="112" spans="1:11" x14ac:dyDescent="0.4">
      <c r="A112" s="20">
        <v>45922</v>
      </c>
      <c r="B112" t="s">
        <v>237</v>
      </c>
      <c r="C112" t="s">
        <v>238</v>
      </c>
      <c r="D112">
        <v>536.5</v>
      </c>
      <c r="E112">
        <v>388.6</v>
      </c>
      <c r="F112">
        <v>536.5</v>
      </c>
      <c r="G112">
        <v>388.6</v>
      </c>
      <c r="H112">
        <v>383.9</v>
      </c>
      <c r="I112">
        <v>261.60000000000002</v>
      </c>
      <c r="J112">
        <v>383.9</v>
      </c>
      <c r="K112">
        <v>261.60000000000002</v>
      </c>
    </row>
    <row r="113" spans="1:11" x14ac:dyDescent="0.4">
      <c r="A113" s="20">
        <v>45919</v>
      </c>
      <c r="B113" t="s">
        <v>239</v>
      </c>
      <c r="C113" t="s">
        <v>240</v>
      </c>
      <c r="D113">
        <v>85.7</v>
      </c>
      <c r="E113">
        <v>84</v>
      </c>
      <c r="F113">
        <v>85.7</v>
      </c>
      <c r="G113">
        <v>84</v>
      </c>
      <c r="H113">
        <v>85.1</v>
      </c>
      <c r="I113">
        <v>83.4</v>
      </c>
      <c r="J113">
        <v>85.1</v>
      </c>
      <c r="K113">
        <v>83.4</v>
      </c>
    </row>
    <row r="114" spans="1:11" x14ac:dyDescent="0.4">
      <c r="A114" s="20">
        <v>45855</v>
      </c>
      <c r="B114" t="s">
        <v>241</v>
      </c>
      <c r="C114" t="s">
        <v>242</v>
      </c>
      <c r="F114">
        <v>0</v>
      </c>
      <c r="G114">
        <v>0</v>
      </c>
      <c r="J114">
        <v>0</v>
      </c>
      <c r="K114">
        <v>0</v>
      </c>
    </row>
    <row r="115" spans="1:11" x14ac:dyDescent="0.4">
      <c r="A115" s="20">
        <v>45834</v>
      </c>
      <c r="B115" t="s">
        <v>243</v>
      </c>
      <c r="C115" t="s">
        <v>244</v>
      </c>
      <c r="D115">
        <v>11.3</v>
      </c>
      <c r="F115">
        <v>11.3</v>
      </c>
      <c r="G115">
        <v>11.3</v>
      </c>
      <c r="H115">
        <v>13.1</v>
      </c>
      <c r="J115">
        <v>13.1</v>
      </c>
      <c r="K115">
        <v>13.1</v>
      </c>
    </row>
    <row r="116" spans="1:11" x14ac:dyDescent="0.4">
      <c r="A116" s="20">
        <v>45796</v>
      </c>
      <c r="B116" t="s">
        <v>245</v>
      </c>
      <c r="C116" t="s">
        <v>246</v>
      </c>
      <c r="D116">
        <v>62.2</v>
      </c>
      <c r="E116">
        <v>46.1</v>
      </c>
      <c r="F116">
        <v>62.2</v>
      </c>
      <c r="G116">
        <v>46.1</v>
      </c>
      <c r="J116">
        <v>57.9</v>
      </c>
      <c r="K116">
        <v>57.9</v>
      </c>
    </row>
    <row r="117" spans="1:11" x14ac:dyDescent="0.4">
      <c r="B117" t="s">
        <v>247</v>
      </c>
      <c r="C117" t="s">
        <v>248</v>
      </c>
      <c r="F117">
        <v>0.1</v>
      </c>
      <c r="G117">
        <v>0.1</v>
      </c>
      <c r="J117">
        <v>0.1</v>
      </c>
      <c r="K117">
        <v>0.1</v>
      </c>
    </row>
    <row r="118" spans="1:11" x14ac:dyDescent="0.4">
      <c r="A118" s="20">
        <v>45688</v>
      </c>
      <c r="B118" t="s">
        <v>249</v>
      </c>
      <c r="C118" t="s">
        <v>250</v>
      </c>
      <c r="D118">
        <v>40.700000000000003</v>
      </c>
      <c r="F118">
        <v>40.700000000000003</v>
      </c>
      <c r="G118">
        <v>40.700000000000003</v>
      </c>
      <c r="H118">
        <v>43</v>
      </c>
      <c r="J118">
        <v>43</v>
      </c>
      <c r="K118">
        <v>43</v>
      </c>
    </row>
    <row r="119" spans="1:11" x14ac:dyDescent="0.4">
      <c r="B119" t="s">
        <v>251</v>
      </c>
      <c r="C119" t="s">
        <v>252</v>
      </c>
      <c r="F119">
        <v>101.2</v>
      </c>
      <c r="G119">
        <v>86.2</v>
      </c>
      <c r="H119">
        <v>101.2</v>
      </c>
      <c r="I119">
        <v>86.2</v>
      </c>
      <c r="J119">
        <v>101.2</v>
      </c>
      <c r="K119">
        <v>86.2</v>
      </c>
    </row>
    <row r="120" spans="1:11" x14ac:dyDescent="0.4">
      <c r="A120" s="20">
        <v>45924</v>
      </c>
      <c r="B120" t="s">
        <v>253</v>
      </c>
      <c r="C120" t="s">
        <v>254</v>
      </c>
      <c r="D120">
        <v>2124</v>
      </c>
      <c r="E120">
        <v>1279</v>
      </c>
      <c r="F120">
        <v>2124</v>
      </c>
      <c r="G120">
        <v>1279</v>
      </c>
      <c r="H120">
        <v>1373.8</v>
      </c>
      <c r="I120">
        <v>812.8</v>
      </c>
      <c r="J120">
        <v>1373.8</v>
      </c>
      <c r="K120">
        <v>812.8</v>
      </c>
    </row>
    <row r="121" spans="1:11" x14ac:dyDescent="0.4">
      <c r="A121" s="20">
        <v>45931</v>
      </c>
      <c r="B121" t="s">
        <v>255</v>
      </c>
      <c r="C121" t="s">
        <v>256</v>
      </c>
      <c r="D121">
        <v>0</v>
      </c>
      <c r="E121">
        <v>-1.7</v>
      </c>
      <c r="F121">
        <v>0</v>
      </c>
      <c r="G121">
        <v>-1.7</v>
      </c>
      <c r="I121">
        <v>22.3</v>
      </c>
      <c r="J121">
        <v>23.7</v>
      </c>
      <c r="K121">
        <v>22.3</v>
      </c>
    </row>
    <row r="122" spans="1:11" x14ac:dyDescent="0.4">
      <c r="A122" s="20">
        <v>45967</v>
      </c>
      <c r="B122" t="s">
        <v>257</v>
      </c>
      <c r="C122" t="s">
        <v>258</v>
      </c>
      <c r="E122">
        <v>179</v>
      </c>
      <c r="F122">
        <v>179.1</v>
      </c>
      <c r="G122">
        <v>179</v>
      </c>
      <c r="H122">
        <v>208.8</v>
      </c>
      <c r="I122">
        <v>179</v>
      </c>
      <c r="J122">
        <v>208.8</v>
      </c>
      <c r="K122">
        <v>179</v>
      </c>
    </row>
    <row r="123" spans="1:11" x14ac:dyDescent="0.4">
      <c r="B123" t="s">
        <v>259</v>
      </c>
      <c r="C123" t="s">
        <v>260</v>
      </c>
      <c r="F123">
        <v>327.2</v>
      </c>
      <c r="G123">
        <v>85.7</v>
      </c>
      <c r="H123">
        <v>327.2</v>
      </c>
      <c r="I123">
        <v>85.7</v>
      </c>
      <c r="J123">
        <v>327.2</v>
      </c>
      <c r="K123">
        <v>85.7</v>
      </c>
    </row>
    <row r="124" spans="1:11" x14ac:dyDescent="0.4">
      <c r="B124" t="s">
        <v>261</v>
      </c>
      <c r="C124" t="s">
        <v>262</v>
      </c>
      <c r="F124">
        <v>0.2</v>
      </c>
      <c r="G124">
        <v>0.1</v>
      </c>
      <c r="I124">
        <v>0.1</v>
      </c>
      <c r="J124">
        <v>0.2</v>
      </c>
      <c r="K124">
        <v>0.1</v>
      </c>
    </row>
    <row r="125" spans="1:11" x14ac:dyDescent="0.4">
      <c r="B125" t="s">
        <v>263</v>
      </c>
      <c r="C125" t="s">
        <v>264</v>
      </c>
      <c r="F125">
        <v>51.2</v>
      </c>
      <c r="G125">
        <v>-0.4</v>
      </c>
      <c r="I125">
        <v>-0.4</v>
      </c>
      <c r="J125">
        <v>51.2</v>
      </c>
      <c r="K125">
        <v>-0.4</v>
      </c>
    </row>
    <row r="126" spans="1:11" x14ac:dyDescent="0.4">
      <c r="B126" t="s">
        <v>265</v>
      </c>
      <c r="C126" t="s">
        <v>266</v>
      </c>
      <c r="F126">
        <v>182.2</v>
      </c>
      <c r="G126">
        <v>103.4</v>
      </c>
      <c r="H126">
        <v>182.2</v>
      </c>
      <c r="I126">
        <v>103.4</v>
      </c>
      <c r="J126">
        <v>182.2</v>
      </c>
      <c r="K126">
        <v>103.4</v>
      </c>
    </row>
    <row r="127" spans="1:11" x14ac:dyDescent="0.4">
      <c r="A127" s="20">
        <v>45968</v>
      </c>
      <c r="B127" t="s">
        <v>267</v>
      </c>
      <c r="C127" t="s">
        <v>268</v>
      </c>
      <c r="D127">
        <v>94.7</v>
      </c>
      <c r="E127">
        <v>84.2</v>
      </c>
      <c r="F127">
        <v>94.7</v>
      </c>
      <c r="G127">
        <v>84.2</v>
      </c>
      <c r="H127">
        <v>92.3</v>
      </c>
      <c r="I127">
        <v>82</v>
      </c>
      <c r="J127">
        <v>92.3</v>
      </c>
      <c r="K127">
        <v>82</v>
      </c>
    </row>
    <row r="128" spans="1:11" x14ac:dyDescent="0.4">
      <c r="B128" t="s">
        <v>269</v>
      </c>
      <c r="C128" t="s">
        <v>270</v>
      </c>
      <c r="F128">
        <v>22.5</v>
      </c>
      <c r="G128">
        <v>11.5</v>
      </c>
      <c r="I128">
        <v>11.5</v>
      </c>
      <c r="J128">
        <v>22.5</v>
      </c>
      <c r="K128">
        <v>11.5</v>
      </c>
    </row>
    <row r="129" spans="1:11" x14ac:dyDescent="0.4">
      <c r="B129" t="s">
        <v>271</v>
      </c>
      <c r="C129" t="s">
        <v>272</v>
      </c>
      <c r="F129">
        <v>104.8</v>
      </c>
      <c r="G129">
        <v>79.099999999999994</v>
      </c>
      <c r="I129">
        <v>79.099999999999994</v>
      </c>
      <c r="J129">
        <v>104.8</v>
      </c>
      <c r="K129">
        <v>79.099999999999994</v>
      </c>
    </row>
    <row r="130" spans="1:11" x14ac:dyDescent="0.4">
      <c r="A130" s="20">
        <v>45929</v>
      </c>
      <c r="B130" t="s">
        <v>273</v>
      </c>
      <c r="C130" t="s">
        <v>274</v>
      </c>
      <c r="D130">
        <v>1602</v>
      </c>
      <c r="F130">
        <v>1602</v>
      </c>
      <c r="G130">
        <v>1602</v>
      </c>
      <c r="H130">
        <v>2170</v>
      </c>
      <c r="J130">
        <v>2170</v>
      </c>
      <c r="K130">
        <v>2170</v>
      </c>
    </row>
    <row r="131" spans="1:11" x14ac:dyDescent="0.4">
      <c r="A131" s="20">
        <v>45970</v>
      </c>
      <c r="B131" t="s">
        <v>275</v>
      </c>
      <c r="C131" t="s">
        <v>276</v>
      </c>
      <c r="D131">
        <v>26</v>
      </c>
      <c r="E131">
        <v>13</v>
      </c>
      <c r="F131">
        <v>26</v>
      </c>
      <c r="G131">
        <v>13</v>
      </c>
      <c r="H131">
        <v>11.5</v>
      </c>
      <c r="I131">
        <v>8.8000000000000007</v>
      </c>
      <c r="J131">
        <v>11.5</v>
      </c>
      <c r="K131">
        <v>8.8000000000000007</v>
      </c>
    </row>
    <row r="132" spans="1:11" x14ac:dyDescent="0.4">
      <c r="B132" t="s">
        <v>277</v>
      </c>
      <c r="C132" t="s">
        <v>278</v>
      </c>
      <c r="F132">
        <v>690.4</v>
      </c>
      <c r="G132">
        <v>690.4</v>
      </c>
      <c r="J132">
        <v>690.4</v>
      </c>
      <c r="K132">
        <v>690.4</v>
      </c>
    </row>
    <row r="133" spans="1:11" x14ac:dyDescent="0.4">
      <c r="B133" t="s">
        <v>279</v>
      </c>
      <c r="C133" t="s">
        <v>280</v>
      </c>
      <c r="F133">
        <v>161.4</v>
      </c>
      <c r="G133">
        <v>134.30000000000001</v>
      </c>
      <c r="I133">
        <v>134.30000000000001</v>
      </c>
      <c r="J133">
        <v>161.4</v>
      </c>
      <c r="K133">
        <v>134.30000000000001</v>
      </c>
    </row>
    <row r="134" spans="1:11" x14ac:dyDescent="0.4">
      <c r="B134" t="s">
        <v>281</v>
      </c>
      <c r="C134" t="s">
        <v>282</v>
      </c>
      <c r="F134">
        <v>36.6</v>
      </c>
      <c r="G134">
        <v>28.1</v>
      </c>
      <c r="H134">
        <v>36.6</v>
      </c>
      <c r="I134">
        <v>28.1</v>
      </c>
      <c r="J134">
        <v>36.6</v>
      </c>
      <c r="K134">
        <v>28.1</v>
      </c>
    </row>
    <row r="135" spans="1:11" x14ac:dyDescent="0.4">
      <c r="A135" s="20">
        <v>45698</v>
      </c>
      <c r="B135" t="s">
        <v>283</v>
      </c>
      <c r="C135" t="s">
        <v>284</v>
      </c>
      <c r="D135">
        <v>47.5</v>
      </c>
      <c r="F135">
        <v>47.5</v>
      </c>
      <c r="G135">
        <v>47.5</v>
      </c>
      <c r="H135">
        <v>60</v>
      </c>
      <c r="J135">
        <v>60</v>
      </c>
      <c r="K135">
        <v>60</v>
      </c>
    </row>
    <row r="136" spans="1:11" x14ac:dyDescent="0.4">
      <c r="A136" s="20">
        <v>45882</v>
      </c>
      <c r="B136" t="s">
        <v>285</v>
      </c>
      <c r="C136" t="s">
        <v>286</v>
      </c>
      <c r="D136">
        <v>1.2</v>
      </c>
      <c r="E136">
        <v>1.1000000000000001</v>
      </c>
      <c r="F136">
        <v>1.2</v>
      </c>
      <c r="G136">
        <v>1.1000000000000001</v>
      </c>
      <c r="H136">
        <v>0.5</v>
      </c>
      <c r="I136">
        <v>0.2</v>
      </c>
      <c r="J136">
        <v>0.5</v>
      </c>
      <c r="K136">
        <v>0.2</v>
      </c>
    </row>
    <row r="137" spans="1:11" x14ac:dyDescent="0.4">
      <c r="B137" t="s">
        <v>287</v>
      </c>
      <c r="C137" t="s">
        <v>288</v>
      </c>
      <c r="F137">
        <v>9.8000000000000007</v>
      </c>
      <c r="G137">
        <v>8.8000000000000007</v>
      </c>
      <c r="I137">
        <v>8.8000000000000007</v>
      </c>
      <c r="J137">
        <v>9.8000000000000007</v>
      </c>
      <c r="K137">
        <v>8.8000000000000007</v>
      </c>
    </row>
    <row r="138" spans="1:11" x14ac:dyDescent="0.4">
      <c r="B138" t="s">
        <v>289</v>
      </c>
      <c r="C138" t="s">
        <v>290</v>
      </c>
      <c r="F138">
        <v>12.5</v>
      </c>
      <c r="G138">
        <v>12.3</v>
      </c>
      <c r="H138">
        <v>12.5</v>
      </c>
      <c r="I138">
        <v>12.3</v>
      </c>
      <c r="J138">
        <v>12.5</v>
      </c>
      <c r="K138">
        <v>12.3</v>
      </c>
    </row>
    <row r="139" spans="1:11" x14ac:dyDescent="0.4">
      <c r="B139" t="s">
        <v>291</v>
      </c>
      <c r="C139" t="s">
        <v>292</v>
      </c>
      <c r="F139">
        <v>0.2</v>
      </c>
      <c r="G139">
        <v>0.2</v>
      </c>
      <c r="H139">
        <v>0.2</v>
      </c>
      <c r="J139">
        <v>0.2</v>
      </c>
      <c r="K139">
        <v>0.2</v>
      </c>
    </row>
    <row r="140" spans="1:11" x14ac:dyDescent="0.4">
      <c r="A140" s="20">
        <v>45827</v>
      </c>
      <c r="B140" t="s">
        <v>293</v>
      </c>
      <c r="C140" t="s">
        <v>294</v>
      </c>
      <c r="D140">
        <v>80.7</v>
      </c>
      <c r="E140">
        <v>55.4</v>
      </c>
      <c r="F140">
        <v>80.7</v>
      </c>
      <c r="G140">
        <v>55.4</v>
      </c>
      <c r="I140">
        <v>76</v>
      </c>
      <c r="J140">
        <v>108.3</v>
      </c>
      <c r="K140">
        <v>76</v>
      </c>
    </row>
    <row r="141" spans="1:11" x14ac:dyDescent="0.4">
      <c r="A141" s="20">
        <v>45912</v>
      </c>
      <c r="B141" t="s">
        <v>295</v>
      </c>
      <c r="C141" t="s">
        <v>296</v>
      </c>
      <c r="E141">
        <v>49.5</v>
      </c>
      <c r="F141">
        <v>48</v>
      </c>
      <c r="G141">
        <v>49.5</v>
      </c>
      <c r="H141">
        <v>55.3</v>
      </c>
      <c r="J141">
        <v>55.3</v>
      </c>
      <c r="K141">
        <v>55.3</v>
      </c>
    </row>
    <row r="142" spans="1:11" x14ac:dyDescent="0.4">
      <c r="B142" t="s">
        <v>297</v>
      </c>
      <c r="C142" t="s">
        <v>298</v>
      </c>
      <c r="F142">
        <v>63.2</v>
      </c>
      <c r="G142">
        <v>63.2</v>
      </c>
      <c r="J142">
        <v>63.2</v>
      </c>
      <c r="K142">
        <v>63.2</v>
      </c>
    </row>
    <row r="143" spans="1:11" x14ac:dyDescent="0.4">
      <c r="A143" s="20">
        <v>45930</v>
      </c>
      <c r="B143" t="s">
        <v>299</v>
      </c>
      <c r="C143" t="s">
        <v>300</v>
      </c>
      <c r="E143">
        <v>0.5</v>
      </c>
      <c r="F143">
        <v>0.6</v>
      </c>
      <c r="G143">
        <v>0.5</v>
      </c>
      <c r="I143">
        <v>0.3</v>
      </c>
      <c r="J143">
        <v>0.4</v>
      </c>
      <c r="K143">
        <v>0.3</v>
      </c>
    </row>
    <row r="144" spans="1:11" x14ac:dyDescent="0.4">
      <c r="B144" t="s">
        <v>301</v>
      </c>
      <c r="C144" t="s">
        <v>302</v>
      </c>
      <c r="F144">
        <v>9.1</v>
      </c>
      <c r="G144">
        <v>9.1</v>
      </c>
      <c r="J144">
        <v>9.1</v>
      </c>
      <c r="K144">
        <v>9.1</v>
      </c>
    </row>
    <row r="145" spans="1:11" x14ac:dyDescent="0.4">
      <c r="A145" s="20">
        <v>45922</v>
      </c>
      <c r="B145" t="s">
        <v>303</v>
      </c>
      <c r="C145" t="s">
        <v>304</v>
      </c>
      <c r="D145">
        <v>-1.7</v>
      </c>
      <c r="E145">
        <v>-3.2</v>
      </c>
      <c r="F145">
        <v>-1.7</v>
      </c>
      <c r="G145">
        <v>-3.2</v>
      </c>
      <c r="H145">
        <v>7.4</v>
      </c>
      <c r="I145">
        <v>6.8</v>
      </c>
      <c r="J145">
        <v>7.4</v>
      </c>
      <c r="K145">
        <v>6.8</v>
      </c>
    </row>
    <row r="146" spans="1:11" x14ac:dyDescent="0.4">
      <c r="A146" s="20">
        <v>45930</v>
      </c>
      <c r="B146" t="s">
        <v>305</v>
      </c>
      <c r="C146" t="s">
        <v>306</v>
      </c>
      <c r="E146">
        <v>0.8</v>
      </c>
      <c r="F146">
        <v>1</v>
      </c>
      <c r="G146">
        <v>0.8</v>
      </c>
      <c r="I146">
        <v>0.8</v>
      </c>
      <c r="J146">
        <v>1.1000000000000001</v>
      </c>
      <c r="K146">
        <v>0.8</v>
      </c>
    </row>
    <row r="147" spans="1:11" x14ac:dyDescent="0.4">
      <c r="B147" t="s">
        <v>307</v>
      </c>
      <c r="C147" t="s">
        <v>308</v>
      </c>
      <c r="F147">
        <v>113.9</v>
      </c>
      <c r="G147">
        <v>113.9</v>
      </c>
      <c r="J147">
        <v>113.9</v>
      </c>
      <c r="K147">
        <v>113.9</v>
      </c>
    </row>
    <row r="148" spans="1:11" x14ac:dyDescent="0.4">
      <c r="B148" t="s">
        <v>309</v>
      </c>
      <c r="C148" t="s">
        <v>310</v>
      </c>
      <c r="F148">
        <v>86.9</v>
      </c>
      <c r="G148">
        <v>71</v>
      </c>
      <c r="H148">
        <v>86.9</v>
      </c>
      <c r="I148">
        <v>71</v>
      </c>
      <c r="J148">
        <v>86.9</v>
      </c>
      <c r="K148">
        <v>71</v>
      </c>
    </row>
    <row r="149" spans="1:11" x14ac:dyDescent="0.4">
      <c r="B149" t="s">
        <v>311</v>
      </c>
      <c r="C149" t="s">
        <v>312</v>
      </c>
      <c r="F149">
        <v>24.2</v>
      </c>
      <c r="G149">
        <v>15</v>
      </c>
      <c r="H149">
        <v>24.2</v>
      </c>
      <c r="I149">
        <v>15</v>
      </c>
      <c r="J149">
        <v>24.2</v>
      </c>
      <c r="K149">
        <v>15</v>
      </c>
    </row>
    <row r="150" spans="1:11" x14ac:dyDescent="0.4">
      <c r="A150" s="20">
        <v>45965</v>
      </c>
      <c r="B150" t="s">
        <v>313</v>
      </c>
      <c r="C150" t="s">
        <v>314</v>
      </c>
      <c r="E150">
        <v>152</v>
      </c>
      <c r="F150">
        <v>413.2</v>
      </c>
      <c r="G150">
        <v>152</v>
      </c>
      <c r="H150">
        <v>404.3</v>
      </c>
      <c r="I150">
        <v>348.8</v>
      </c>
      <c r="J150">
        <v>404.3</v>
      </c>
      <c r="K150">
        <v>348.8</v>
      </c>
    </row>
    <row r="151" spans="1:11" x14ac:dyDescent="0.4">
      <c r="B151" t="s">
        <v>315</v>
      </c>
      <c r="C151" t="s">
        <v>316</v>
      </c>
      <c r="F151">
        <v>23.6</v>
      </c>
      <c r="G151">
        <v>20</v>
      </c>
      <c r="H151">
        <v>23.6</v>
      </c>
      <c r="I151">
        <v>20</v>
      </c>
      <c r="J151">
        <v>23.6</v>
      </c>
      <c r="K151">
        <v>20</v>
      </c>
    </row>
    <row r="152" spans="1:11" x14ac:dyDescent="0.4">
      <c r="B152" t="s">
        <v>317</v>
      </c>
      <c r="C152" t="s">
        <v>318</v>
      </c>
      <c r="F152">
        <v>164.3</v>
      </c>
      <c r="G152">
        <v>164.3</v>
      </c>
      <c r="H152">
        <v>164.3</v>
      </c>
      <c r="J152">
        <v>164.3</v>
      </c>
      <c r="K152">
        <v>164.3</v>
      </c>
    </row>
    <row r="153" spans="1:11" x14ac:dyDescent="0.4">
      <c r="B153" t="s">
        <v>319</v>
      </c>
      <c r="C153" t="s">
        <v>320</v>
      </c>
      <c r="F153">
        <v>5.7</v>
      </c>
      <c r="G153">
        <v>5.7</v>
      </c>
      <c r="J153">
        <v>5.7</v>
      </c>
      <c r="K153">
        <v>5.7</v>
      </c>
    </row>
    <row r="154" spans="1:11" x14ac:dyDescent="0.4">
      <c r="A154" s="20">
        <v>45923</v>
      </c>
      <c r="B154" t="s">
        <v>321</v>
      </c>
      <c r="C154" t="s">
        <v>322</v>
      </c>
      <c r="E154">
        <v>0.2</v>
      </c>
      <c r="F154">
        <v>0.3</v>
      </c>
      <c r="G154">
        <v>0.2</v>
      </c>
      <c r="I154">
        <v>0.2</v>
      </c>
      <c r="J154">
        <v>0.3</v>
      </c>
      <c r="K154">
        <v>0.2</v>
      </c>
    </row>
    <row r="155" spans="1:11" x14ac:dyDescent="0.4">
      <c r="B155" t="s">
        <v>323</v>
      </c>
      <c r="C155" t="s">
        <v>324</v>
      </c>
      <c r="F155">
        <v>23.1</v>
      </c>
      <c r="G155">
        <v>21.4</v>
      </c>
      <c r="H155">
        <v>23.1</v>
      </c>
      <c r="I155">
        <v>21.4</v>
      </c>
      <c r="J155">
        <v>23.1</v>
      </c>
      <c r="K155">
        <v>21.4</v>
      </c>
    </row>
    <row r="156" spans="1:11" x14ac:dyDescent="0.4">
      <c r="B156" t="s">
        <v>325</v>
      </c>
      <c r="C156" t="s">
        <v>326</v>
      </c>
      <c r="F156">
        <v>41.1</v>
      </c>
      <c r="G156">
        <v>31</v>
      </c>
      <c r="H156">
        <v>41.1</v>
      </c>
      <c r="I156">
        <v>31</v>
      </c>
      <c r="J156">
        <v>41.1</v>
      </c>
      <c r="K156">
        <v>31</v>
      </c>
    </row>
    <row r="157" spans="1:11" x14ac:dyDescent="0.4">
      <c r="A157" s="20">
        <v>45970</v>
      </c>
      <c r="B157" t="s">
        <v>327</v>
      </c>
      <c r="C157" t="s">
        <v>328</v>
      </c>
      <c r="F157">
        <v>1109</v>
      </c>
      <c r="G157">
        <v>643</v>
      </c>
      <c r="I157">
        <v>695</v>
      </c>
      <c r="J157">
        <v>1175</v>
      </c>
      <c r="K157">
        <v>695</v>
      </c>
    </row>
    <row r="158" spans="1:11" x14ac:dyDescent="0.4">
      <c r="A158" s="20">
        <v>45926</v>
      </c>
      <c r="B158" t="s">
        <v>329</v>
      </c>
      <c r="C158" t="s">
        <v>330</v>
      </c>
      <c r="D158">
        <v>0</v>
      </c>
      <c r="F158">
        <v>0</v>
      </c>
      <c r="G158">
        <v>0</v>
      </c>
      <c r="H158">
        <v>0</v>
      </c>
      <c r="J158">
        <v>0</v>
      </c>
      <c r="K158">
        <v>0</v>
      </c>
    </row>
    <row r="159" spans="1:11" x14ac:dyDescent="0.4">
      <c r="B159" t="s">
        <v>331</v>
      </c>
      <c r="C159" t="s">
        <v>332</v>
      </c>
      <c r="F159">
        <v>219.8</v>
      </c>
      <c r="G159">
        <v>145.80000000000001</v>
      </c>
      <c r="I159">
        <v>145.80000000000001</v>
      </c>
      <c r="J159">
        <v>219.8</v>
      </c>
      <c r="K159">
        <v>145.80000000000001</v>
      </c>
    </row>
    <row r="160" spans="1:11" x14ac:dyDescent="0.4">
      <c r="B160" t="s">
        <v>333</v>
      </c>
      <c r="C160" t="s">
        <v>334</v>
      </c>
      <c r="F160">
        <v>140.1</v>
      </c>
      <c r="G160">
        <v>112.1</v>
      </c>
      <c r="H160">
        <v>140.1</v>
      </c>
      <c r="I160">
        <v>112.1</v>
      </c>
      <c r="J160">
        <v>140.1</v>
      </c>
      <c r="K160">
        <v>112.1</v>
      </c>
    </row>
    <row r="161" spans="1:11" x14ac:dyDescent="0.4">
      <c r="B161" t="s">
        <v>335</v>
      </c>
      <c r="C161" t="s">
        <v>336</v>
      </c>
      <c r="F161">
        <v>212.4</v>
      </c>
      <c r="G161">
        <v>309</v>
      </c>
      <c r="I161">
        <v>309</v>
      </c>
      <c r="J161">
        <v>212.4</v>
      </c>
      <c r="K161">
        <v>309</v>
      </c>
    </row>
    <row r="162" spans="1:11" x14ac:dyDescent="0.4">
      <c r="A162" s="20">
        <v>45656</v>
      </c>
      <c r="B162" t="s">
        <v>337</v>
      </c>
      <c r="C162" t="s">
        <v>338</v>
      </c>
      <c r="D162">
        <v>40.700000000000003</v>
      </c>
      <c r="E162">
        <v>37.4</v>
      </c>
      <c r="F162">
        <v>40.700000000000003</v>
      </c>
      <c r="G162">
        <v>37.4</v>
      </c>
      <c r="H162">
        <v>41.2</v>
      </c>
      <c r="I162">
        <v>38</v>
      </c>
      <c r="J162">
        <v>41.2</v>
      </c>
      <c r="K162">
        <v>38</v>
      </c>
    </row>
    <row r="163" spans="1:11" x14ac:dyDescent="0.4">
      <c r="A163" s="20">
        <v>45645</v>
      </c>
      <c r="B163" t="s">
        <v>339</v>
      </c>
      <c r="C163" t="s">
        <v>340</v>
      </c>
      <c r="D163">
        <v>2404.3000000000002</v>
      </c>
      <c r="F163">
        <v>2404.3000000000002</v>
      </c>
      <c r="G163">
        <v>2404.3000000000002</v>
      </c>
      <c r="H163">
        <v>3251.2</v>
      </c>
      <c r="J163">
        <v>3251.2</v>
      </c>
      <c r="K163">
        <v>3251.2</v>
      </c>
    </row>
    <row r="164" spans="1:11" x14ac:dyDescent="0.4">
      <c r="A164" s="20">
        <v>45967</v>
      </c>
      <c r="B164" t="s">
        <v>341</v>
      </c>
      <c r="C164" t="s">
        <v>342</v>
      </c>
      <c r="E164">
        <v>337.7</v>
      </c>
      <c r="F164">
        <v>191.9</v>
      </c>
      <c r="G164">
        <v>337.7</v>
      </c>
      <c r="I164">
        <v>353.8</v>
      </c>
      <c r="J164">
        <v>180.8</v>
      </c>
      <c r="K164">
        <v>353.8</v>
      </c>
    </row>
    <row r="165" spans="1:11" x14ac:dyDescent="0.4">
      <c r="A165" s="20">
        <v>45916</v>
      </c>
      <c r="B165" t="s">
        <v>343</v>
      </c>
      <c r="C165" t="s">
        <v>344</v>
      </c>
      <c r="D165">
        <v>0</v>
      </c>
      <c r="F165">
        <v>0</v>
      </c>
      <c r="G165">
        <v>0</v>
      </c>
      <c r="H165">
        <v>0</v>
      </c>
      <c r="J165">
        <v>0</v>
      </c>
      <c r="K165">
        <v>0</v>
      </c>
    </row>
    <row r="166" spans="1:11" x14ac:dyDescent="0.4">
      <c r="B166" t="s">
        <v>345</v>
      </c>
      <c r="C166" t="s">
        <v>346</v>
      </c>
      <c r="F166">
        <v>0.8</v>
      </c>
      <c r="G166">
        <v>0.8</v>
      </c>
      <c r="H166">
        <v>0.8</v>
      </c>
      <c r="J166">
        <v>0.8</v>
      </c>
      <c r="K166">
        <v>0.8</v>
      </c>
    </row>
    <row r="167" spans="1:11" x14ac:dyDescent="0.4">
      <c r="A167" s="20">
        <v>45958</v>
      </c>
      <c r="B167" t="s">
        <v>347</v>
      </c>
      <c r="C167" t="s">
        <v>348</v>
      </c>
      <c r="E167">
        <v>173.7</v>
      </c>
      <c r="F167">
        <v>217.2</v>
      </c>
      <c r="G167">
        <v>173.7</v>
      </c>
      <c r="I167">
        <v>312.39999999999998</v>
      </c>
      <c r="J167">
        <v>380.4</v>
      </c>
      <c r="K167">
        <v>312.39999999999998</v>
      </c>
    </row>
    <row r="168" spans="1:11" x14ac:dyDescent="0.4">
      <c r="B168" t="s">
        <v>349</v>
      </c>
      <c r="C168" t="s">
        <v>350</v>
      </c>
      <c r="F168">
        <v>781.6</v>
      </c>
      <c r="G168">
        <v>524.20000000000005</v>
      </c>
      <c r="H168">
        <v>781.6</v>
      </c>
      <c r="I168">
        <v>524.20000000000005</v>
      </c>
      <c r="J168">
        <v>781.6</v>
      </c>
      <c r="K168">
        <v>524.20000000000005</v>
      </c>
    </row>
    <row r="169" spans="1:11" x14ac:dyDescent="0.4">
      <c r="A169" s="20">
        <v>45924</v>
      </c>
      <c r="B169" t="s">
        <v>351</v>
      </c>
      <c r="C169" t="s">
        <v>352</v>
      </c>
      <c r="E169">
        <v>0.3</v>
      </c>
      <c r="F169">
        <v>0.5</v>
      </c>
      <c r="G169">
        <v>0.3</v>
      </c>
      <c r="J169">
        <v>0.5</v>
      </c>
      <c r="K169">
        <v>0.5</v>
      </c>
    </row>
    <row r="170" spans="1:11" x14ac:dyDescent="0.4">
      <c r="B170" t="s">
        <v>353</v>
      </c>
      <c r="C170" t="s">
        <v>354</v>
      </c>
      <c r="F170">
        <v>0.5</v>
      </c>
      <c r="G170">
        <v>0.3</v>
      </c>
      <c r="I170">
        <v>0.3</v>
      </c>
      <c r="J170">
        <v>0.5</v>
      </c>
      <c r="K170">
        <v>0.3</v>
      </c>
    </row>
    <row r="171" spans="1:11" x14ac:dyDescent="0.4">
      <c r="B171" t="s">
        <v>355</v>
      </c>
      <c r="C171" t="s">
        <v>356</v>
      </c>
      <c r="F171">
        <v>57.7</v>
      </c>
      <c r="G171">
        <v>57.7</v>
      </c>
      <c r="J171">
        <v>57.7</v>
      </c>
      <c r="K171">
        <v>57.7</v>
      </c>
    </row>
    <row r="172" spans="1:11" x14ac:dyDescent="0.4">
      <c r="A172" s="20">
        <v>45954</v>
      </c>
      <c r="B172" t="s">
        <v>357</v>
      </c>
      <c r="C172" t="s">
        <v>358</v>
      </c>
      <c r="E172">
        <v>350</v>
      </c>
      <c r="F172">
        <v>408.5</v>
      </c>
      <c r="G172">
        <v>350</v>
      </c>
      <c r="I172">
        <v>385</v>
      </c>
      <c r="J172">
        <v>409.6</v>
      </c>
      <c r="K172">
        <v>385</v>
      </c>
    </row>
    <row r="173" spans="1:11" x14ac:dyDescent="0.4">
      <c r="A173" s="20">
        <v>45958</v>
      </c>
      <c r="B173" t="s">
        <v>359</v>
      </c>
      <c r="C173" t="s">
        <v>360</v>
      </c>
      <c r="E173">
        <v>51</v>
      </c>
      <c r="F173">
        <v>83.4</v>
      </c>
      <c r="G173">
        <v>51</v>
      </c>
      <c r="I173">
        <v>51</v>
      </c>
      <c r="J173">
        <v>74.400000000000006</v>
      </c>
      <c r="K173">
        <v>51</v>
      </c>
    </row>
    <row r="174" spans="1:11" x14ac:dyDescent="0.4">
      <c r="A174" s="20">
        <v>45698</v>
      </c>
      <c r="B174" t="s">
        <v>361</v>
      </c>
      <c r="C174" t="s">
        <v>362</v>
      </c>
      <c r="E174">
        <v>73.8</v>
      </c>
      <c r="F174">
        <v>125.8</v>
      </c>
      <c r="G174">
        <v>73.8</v>
      </c>
      <c r="I174">
        <v>44.7</v>
      </c>
      <c r="J174">
        <v>75.400000000000006</v>
      </c>
      <c r="K174">
        <v>44.7</v>
      </c>
    </row>
  </sheetData>
  <autoFilter ref="A1:K174" xr:uid="{2B6E6B52-E6EA-B342-B536-C429268109D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990DC6317597479C114DD4E6AB1F33" ma:contentTypeVersion="21" ma:contentTypeDescription="Create a new document." ma:contentTypeScope="" ma:versionID="919433a813904c3aa8bf81e3ee70cd7f">
  <xsd:schema xmlns:xsd="http://www.w3.org/2001/XMLSchema" xmlns:xs="http://www.w3.org/2001/XMLSchema" xmlns:p="http://schemas.microsoft.com/office/2006/metadata/properties" xmlns:ns1="http://schemas.microsoft.com/sharepoint/v3" xmlns:ns2="7889d872-e2a2-4afb-87bc-97561eced75f" xmlns:ns3="c9df191c-55f2-496b-9838-9a5abe4742ad" targetNamespace="http://schemas.microsoft.com/office/2006/metadata/properties" ma:root="true" ma:fieldsID="50d042222011fa69b41b2ee21c081c49" ns1:_="" ns2:_="" ns3:_="">
    <xsd:import namespace="http://schemas.microsoft.com/sharepoint/v3"/>
    <xsd:import namespace="7889d872-e2a2-4afb-87bc-97561eced75f"/>
    <xsd:import namespace="c9df191c-55f2-496b-9838-9a5abe4742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1:_ip_UnifiedCompliancePolicyProperties" minOccurs="0"/>
                <xsd:element ref="ns1:_ip_UnifiedCompliancePolicyUIActio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acces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9d872-e2a2-4afb-87bc-97561eced7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c6ca6f77-677a-4af5-91c4-60d888ef8b33}" ma:internalName="TaxCatchAll" ma:showField="CatchAllData" ma:web="7889d872-e2a2-4afb-87bc-97561eced7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f191c-55f2-496b-9838-9a5abe474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ccess" ma:index="22" nillable="true" ma:displayName="access" ma:internalName="access">
      <xsd:simpleType>
        <xsd:restriction base="dms:Text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ddb06df0-9a10-4f13-b01c-4547ef3a4f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7889d872-e2a2-4afb-87bc-97561eced75f" xsi:nil="true"/>
    <_ip_UnifiedCompliancePolicyProperties xmlns="http://schemas.microsoft.com/sharepoint/v3" xsi:nil="true"/>
    <access xmlns="c9df191c-55f2-496b-9838-9a5abe4742ad" xsi:nil="true"/>
    <lcf76f155ced4ddcb4097134ff3c332f xmlns="c9df191c-55f2-496b-9838-9a5abe4742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DEECA9-1089-4690-8794-A18CC41DF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889d872-e2a2-4afb-87bc-97561eced75f"/>
    <ds:schemaRef ds:uri="c9df191c-55f2-496b-9838-9a5abe474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EB2B02-063F-46E6-89AD-939324EDD4A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889d872-e2a2-4afb-87bc-97561eced75f"/>
    <ds:schemaRef ds:uri="c9df191c-55f2-496b-9838-9a5abe4742ad"/>
  </ds:schemaRefs>
</ds:datastoreItem>
</file>

<file path=customXml/itemProps3.xml><?xml version="1.0" encoding="utf-8"?>
<ds:datastoreItem xmlns:ds="http://schemas.openxmlformats.org/officeDocument/2006/customXml" ds:itemID="{FBF1D8D8-6F8E-4909-9C89-BF6103607F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Country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Mengpin Ge</dc:creator>
  <cp:keywords/>
  <dc:description/>
  <cp:lastModifiedBy>Ashna Siddhi (She/Her/Hers)</cp:lastModifiedBy>
  <cp:revision/>
  <dcterms:created xsi:type="dcterms:W3CDTF">2025-05-30T15:09:02Z</dcterms:created>
  <dcterms:modified xsi:type="dcterms:W3CDTF">2025-11-10T20:34:50Z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